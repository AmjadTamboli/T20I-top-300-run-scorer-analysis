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pration 12 LPA\Power Query\"/>
    </mc:Choice>
  </mc:AlternateContent>
  <xr:revisionPtr revIDLastSave="0" documentId="13_ncr:1_{29F267C1-9F8F-4538-9FC2-E7E7E35E40E1}" xr6:coauthVersionLast="47" xr6:coauthVersionMax="47" xr10:uidLastSave="{00000000-0000-0000-0000-000000000000}"/>
  <bookViews>
    <workbookView xWindow="-110" yWindow="-110" windowWidth="19420" windowHeight="10300" firstSheet="3" activeTab="7" xr2:uid="{00000000-000D-0000-FFFF-FFFF00000000}"/>
  </bookViews>
  <sheets>
    <sheet name="Top 50 " sheetId="7" r:id="rId1"/>
    <sheet name="Top 100" sheetId="8" r:id="rId2"/>
    <sheet name="Top 150" sheetId="9" r:id="rId3"/>
    <sheet name="Top 200" sheetId="10" r:id="rId4"/>
    <sheet name="Top 250" sheetId="11" r:id="rId5"/>
    <sheet name="Top 300" sheetId="14" r:id="rId6"/>
    <sheet name="Top 300 T20I Player" sheetId="16" r:id="rId7"/>
    <sheet name="Sheet1" sheetId="18" r:id="rId8"/>
    <sheet name="Top 300 T20I Player (2)" sheetId="17" r:id="rId9"/>
  </sheets>
  <definedNames>
    <definedName name="ExternalData_1" localSheetId="1" hidden="1">'Top 100'!$A$1:$Q$51</definedName>
    <definedName name="ExternalData_1" localSheetId="0" hidden="1">'Top 50 '!$A$1:$P$51</definedName>
    <definedName name="ExternalData_2" localSheetId="2" hidden="1">'Top 150'!$A$1:$Q$51</definedName>
    <definedName name="ExternalData_3" localSheetId="3" hidden="1">'Top 200'!$A$1:$P$51</definedName>
    <definedName name="ExternalData_4" localSheetId="4" hidden="1">'Top 250'!$A$1:$P$51</definedName>
    <definedName name="ExternalData_5" localSheetId="5" hidden="1">'Top 300'!$A$1:$P$51</definedName>
    <definedName name="ExternalData_6" localSheetId="6" hidden="1">'Top 300 T20I Player'!$A$1:$Q$301</definedName>
    <definedName name="ExternalData_7" localSheetId="8" hidden="1">'Top 300 T20I Player (2)'!$A$1:$R$11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op 300 T20I Player  2_de8e5bf0-de6f-4f1e-b031-a835a30711d6" name="Top 300 T20I Player  2" connection="Query - Top 300 T20I Player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1" i="18" l="1"/>
  <c r="B60" i="18"/>
  <c r="D2" i="1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1" i="18"/>
  <c r="B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1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5AB53C-CDBB-4D59-BC56-6BF4CAF5E606}" keepAlive="1" name="ModelConnection_ExternalData_7" description="Data Model" type="5" refreshedVersion="7" minRefreshableVersion="5" saveData="1">
    <dbPr connection="Data Model Connection" command="Top 300 T20I Player  2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91D0CA9-5121-4358-8200-E358312FD15E}" keepAlive="1" name="Query - Overall figures" description="Connection to the 'Overall figures' query in the workbook." type="5" refreshedVersion="7" background="1" saveData="1">
    <dbPr connection="Provider=Microsoft.Mashup.OleDb.1;Data Source=$Workbook$;Location=&quot;Overall figures&quot;;Extended Properties=&quot;&quot;" command="SELECT * FROM [Overall figures]"/>
  </connection>
  <connection id="3" xr16:uid="{CE7100AE-E3E7-4499-9064-F2300726CE7A}" keepAlive="1" name="Query - Overall figures (2)" description="Connection to the 'Overall figures (2)' query in the workbook." type="5" refreshedVersion="7" background="1" saveData="1">
    <dbPr connection="Provider=Microsoft.Mashup.OleDb.1;Data Source=$Workbook$;Location=&quot;Overall figures (2)&quot;;Extended Properties=&quot;&quot;" command="SELECT * FROM [Overall figures (2)]"/>
  </connection>
  <connection id="4" xr16:uid="{98C8540F-0F02-4004-8A95-BA4D37079AE6}" keepAlive="1" name="Query - Overall figures (3)" description="Connection to the 'Overall figures (3)' query in the workbook." type="5" refreshedVersion="7" background="1" saveData="1">
    <dbPr connection="Provider=Microsoft.Mashup.OleDb.1;Data Source=$Workbook$;Location=&quot;Overall figures (3)&quot;;Extended Properties=&quot;&quot;" command="SELECT * FROM [Overall figures (3)]"/>
  </connection>
  <connection id="5" xr16:uid="{712AF810-5330-4BC6-8099-B2EBBA313B98}" keepAlive="1" name="Query - Overall figures (4)" description="Connection to the 'Overall figures (4)' query in the workbook." type="5" refreshedVersion="7" background="1" saveData="1">
    <dbPr connection="Provider=Microsoft.Mashup.OleDb.1;Data Source=$Workbook$;Location=&quot;Overall figures (4)&quot;;Extended Properties=&quot;&quot;" command="SELECT * FROM [Overall figures (4)]"/>
  </connection>
  <connection id="6" xr16:uid="{1351A9A2-CF1B-46A4-B847-97DF8E3CA19E}" keepAlive="1" name="Query - Overall figures (5)" description="Connection to the 'Overall figures (5)' query in the workbook." type="5" refreshedVersion="7" background="1" saveData="1">
    <dbPr connection="Provider=Microsoft.Mashup.OleDb.1;Data Source=$Workbook$;Location=&quot;Overall figures (5)&quot;;Extended Properties=&quot;&quot;" command="SELECT * FROM [Overall figures (5)]"/>
  </connection>
  <connection id="7" xr16:uid="{4DFB79A3-7065-4A61-A2AB-311F5A2A1DC4}" keepAlive="1" name="Query - Overall figures (6)" description="Connection to the 'Overall figures (6)' query in the workbook." type="5" refreshedVersion="7" background="1" saveData="1">
    <dbPr connection="Provider=Microsoft.Mashup.OleDb.1;Data Source=$Workbook$;Location=&quot;Overall figures (6)&quot;;Extended Properties=&quot;&quot;" command="SELECT * FROM [Overall figures (6)]"/>
  </connection>
  <connection id="8" xr16:uid="{1218C310-37EC-4CC1-9DC3-8F1AF77B43D2}" keepAlive="1" name="Query - Top 300 T20I Player" description="Connection to the 'Top 300 T20I Player' query in the workbook." type="5" refreshedVersion="7" background="1" saveData="1">
    <dbPr connection="Provider=Microsoft.Mashup.OleDb.1;Data Source=$Workbook$;Location=&quot;Top 300 T20I Player&quot;;Extended Properties=&quot;&quot;" command="SELECT * FROM [Top 300 T20I Player]"/>
  </connection>
  <connection id="9" xr16:uid="{EE45937E-1542-4998-8F68-D3DE6F0F546F}" name="Query - Top 300 T20I Player (2)" description="Connection to the 'Top 300 T20I Player (2)' query in the workbook." type="100" refreshedVersion="7" minRefreshableVersion="5">
    <extLst>
      <ext xmlns:x15="http://schemas.microsoft.com/office/spreadsheetml/2010/11/main" uri="{DE250136-89BD-433C-8126-D09CA5730AF9}">
        <x15:connection id="a909ff78-42b1-4a73-bc87-137f13be08ab"/>
      </ext>
    </extLst>
  </connection>
  <connection id="10" xr16:uid="{0C1AF37E-4342-4C5A-8583-9A4AF436CB87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<sst xmlns="http://schemas.openxmlformats.org/spreadsheetml/2006/main" count="2473" uniqueCount="656">
  <si>
    <t>Span</t>
  </si>
  <si>
    <t>Mat</t>
  </si>
  <si>
    <t>Inns</t>
  </si>
  <si>
    <t>NO</t>
  </si>
  <si>
    <t>Runs</t>
  </si>
  <si>
    <t>HS</t>
  </si>
  <si>
    <t>Ave</t>
  </si>
  <si>
    <t>BF</t>
  </si>
  <si>
    <t>SR</t>
  </si>
  <si>
    <t>100</t>
  </si>
  <si>
    <t>50</t>
  </si>
  <si>
    <t>0</t>
  </si>
  <si>
    <t>4s</t>
  </si>
  <si>
    <t>6s</t>
  </si>
  <si>
    <t>Column1</t>
  </si>
  <si>
    <t>2007-2024</t>
  </si>
  <si>
    <t>121*</t>
  </si>
  <si>
    <t/>
  </si>
  <si>
    <t>2016-2024</t>
  </si>
  <si>
    <t>122</t>
  </si>
  <si>
    <t>2010-2024</t>
  </si>
  <si>
    <t>122*</t>
  </si>
  <si>
    <t>2011-2025</t>
  </si>
  <si>
    <t>101*</t>
  </si>
  <si>
    <t>2009-2025</t>
  </si>
  <si>
    <t>115*</t>
  </si>
  <si>
    <t>2009-2022</t>
  </si>
  <si>
    <t>105</t>
  </si>
  <si>
    <t>2015-2024</t>
  </si>
  <si>
    <t>104*</t>
  </si>
  <si>
    <t>2009-2024</t>
  </si>
  <si>
    <t>100*</t>
  </si>
  <si>
    <t>2011-2022</t>
  </si>
  <si>
    <t>172</t>
  </si>
  <si>
    <t>2019-2025</t>
  </si>
  <si>
    <t>116*</t>
  </si>
  <si>
    <t>2012-2024</t>
  </si>
  <si>
    <t>145*</t>
  </si>
  <si>
    <t>2021-2025</t>
  </si>
  <si>
    <t>112</t>
  </si>
  <si>
    <t>117</t>
  </si>
  <si>
    <t>106*</t>
  </si>
  <si>
    <t>2011-2024</t>
  </si>
  <si>
    <t>95</t>
  </si>
  <si>
    <t>2006-2024</t>
  </si>
  <si>
    <t>84</t>
  </si>
  <si>
    <t>126</t>
  </si>
  <si>
    <t>2006-2021</t>
  </si>
  <si>
    <t>99*</t>
  </si>
  <si>
    <t>91</t>
  </si>
  <si>
    <t>64*</t>
  </si>
  <si>
    <t>75</t>
  </si>
  <si>
    <t>2013-2025</t>
  </si>
  <si>
    <t>133*</t>
  </si>
  <si>
    <t>83</t>
  </si>
  <si>
    <t>98</t>
  </si>
  <si>
    <t>2014-2024</t>
  </si>
  <si>
    <t>2016-2022</t>
  </si>
  <si>
    <t>110*</t>
  </si>
  <si>
    <t>2008-2025</t>
  </si>
  <si>
    <t>89</t>
  </si>
  <si>
    <t>2015-2025</t>
  </si>
  <si>
    <t>132</t>
  </si>
  <si>
    <t>2021-2024</t>
  </si>
  <si>
    <t>2014-2025</t>
  </si>
  <si>
    <t>81</t>
  </si>
  <si>
    <t>2005-2015</t>
  </si>
  <si>
    <t>123</t>
  </si>
  <si>
    <t>103</t>
  </si>
  <si>
    <t>101</t>
  </si>
  <si>
    <t>2010-2023</t>
  </si>
  <si>
    <t>118*</t>
  </si>
  <si>
    <t>2008-2021</t>
  </si>
  <si>
    <t>124</t>
  </si>
  <si>
    <t>2007-2019</t>
  </si>
  <si>
    <t>96*</t>
  </si>
  <si>
    <t>2017-2025</t>
  </si>
  <si>
    <t>108</t>
  </si>
  <si>
    <t>2016-2025</t>
  </si>
  <si>
    <t>86</t>
  </si>
  <si>
    <t>2006-2020</t>
  </si>
  <si>
    <t>63</t>
  </si>
  <si>
    <t>2017-2023</t>
  </si>
  <si>
    <t>103*</t>
  </si>
  <si>
    <t>2006-2016</t>
  </si>
  <si>
    <t>107</t>
  </si>
  <si>
    <t>Player Name</t>
  </si>
  <si>
    <t>Country</t>
  </si>
  <si>
    <t>IND</t>
  </si>
  <si>
    <t>PAK</t>
  </si>
  <si>
    <t>ENG</t>
  </si>
  <si>
    <t>IRE</t>
  </si>
  <si>
    <t>NZ</t>
  </si>
  <si>
    <t>AUS</t>
  </si>
  <si>
    <t>MAS</t>
  </si>
  <si>
    <t>UAE</t>
  </si>
  <si>
    <t>SA/WORLD</t>
  </si>
  <si>
    <t>SA</t>
  </si>
  <si>
    <t>BAN</t>
  </si>
  <si>
    <t>ICC/PAK</t>
  </si>
  <si>
    <t>ZIM</t>
  </si>
  <si>
    <t>WI</t>
  </si>
  <si>
    <t>SCOT</t>
  </si>
  <si>
    <t>AFG</t>
  </si>
  <si>
    <t>UGA</t>
  </si>
  <si>
    <t>HKG</t>
  </si>
  <si>
    <t>NED</t>
  </si>
  <si>
    <t>KUW</t>
  </si>
  <si>
    <t>SL</t>
  </si>
  <si>
    <t>Najibullah Zadran</t>
  </si>
  <si>
    <t>73</t>
  </si>
  <si>
    <t>NEP</t>
  </si>
  <si>
    <t>2018-2025</t>
  </si>
  <si>
    <t>HH Pandya</t>
  </si>
  <si>
    <t>71*</t>
  </si>
  <si>
    <t>E Lewis</t>
  </si>
  <si>
    <t>125*</t>
  </si>
  <si>
    <t>QAT</t>
  </si>
  <si>
    <t>2019-2024</t>
  </si>
  <si>
    <t>88*</t>
  </si>
  <si>
    <t>S Dhawan</t>
  </si>
  <si>
    <t>2011-2021</t>
  </si>
  <si>
    <t>92</t>
  </si>
  <si>
    <t>Tamim Iqbal</t>
  </si>
  <si>
    <t>BAN/ICC/World</t>
  </si>
  <si>
    <t>2007-2020</t>
  </si>
  <si>
    <t>CO Obuya</t>
  </si>
  <si>
    <t>KENYA</t>
  </si>
  <si>
    <t>MS Chapman</t>
  </si>
  <si>
    <t>HKG/NZ</t>
  </si>
  <si>
    <t>90</t>
  </si>
  <si>
    <t>C Munro</t>
  </si>
  <si>
    <t>2012-2020</t>
  </si>
  <si>
    <t>109*</t>
  </si>
  <si>
    <t>Meet Bhavsar</t>
  </si>
  <si>
    <t>SC Williams</t>
  </si>
  <si>
    <t>Umar Akmal</t>
  </si>
  <si>
    <t>2009-2019</t>
  </si>
  <si>
    <t>94</t>
  </si>
  <si>
    <t>AB de Villiers</t>
  </si>
  <si>
    <t>2006-2017</t>
  </si>
  <si>
    <t>79*</t>
  </si>
  <si>
    <t>JM Bairstow</t>
  </si>
  <si>
    <t>Ahmed Faiz</t>
  </si>
  <si>
    <t>105*</t>
  </si>
  <si>
    <t>H Masakadza</t>
  </si>
  <si>
    <t>2006-2019</t>
  </si>
  <si>
    <t>93*</t>
  </si>
  <si>
    <t>TP Ura</t>
  </si>
  <si>
    <t>PNG</t>
  </si>
  <si>
    <t>107*</t>
  </si>
  <si>
    <t>RR Patel</t>
  </si>
  <si>
    <t>2008-2024</t>
  </si>
  <si>
    <t>120</t>
  </si>
  <si>
    <t>MS Dhoni</t>
  </si>
  <si>
    <t>56</t>
  </si>
  <si>
    <t>MN Samuels</t>
  </si>
  <si>
    <t>2007-2018</t>
  </si>
  <si>
    <t>89*</t>
  </si>
  <si>
    <t>SK Raina</t>
  </si>
  <si>
    <t>2006-2018</t>
  </si>
  <si>
    <t>Faisal Khan</t>
  </si>
  <si>
    <t>KSA</t>
  </si>
  <si>
    <t>MG Erasmus</t>
  </si>
  <si>
    <t>NAM</t>
  </si>
  <si>
    <t>KA Pollard</t>
  </si>
  <si>
    <t>2008-2022</t>
  </si>
  <si>
    <t>75*</t>
  </si>
  <si>
    <t>Abdul Waheed</t>
  </si>
  <si>
    <t>2020-2025</t>
  </si>
  <si>
    <t>110</t>
  </si>
  <si>
    <t>K Bhurtel</t>
  </si>
  <si>
    <t>Anshuman Rath</t>
  </si>
  <si>
    <t>TL Seifert</t>
  </si>
  <si>
    <t>97*</t>
  </si>
  <si>
    <t>K Kadowaki-Fleming</t>
  </si>
  <si>
    <t>JPN</t>
  </si>
  <si>
    <t>2022-2025</t>
  </si>
  <si>
    <t>114</t>
  </si>
  <si>
    <t>F du Plessis</t>
  </si>
  <si>
    <t>SA/World</t>
  </si>
  <si>
    <t>119</t>
  </si>
  <si>
    <t>LMP Simmons</t>
  </si>
  <si>
    <t>2007-2021</t>
  </si>
  <si>
    <t>91*</t>
  </si>
  <si>
    <t>JJ Roy</t>
  </si>
  <si>
    <t>2014-2022</t>
  </si>
  <si>
    <t>78</t>
  </si>
  <si>
    <t>Mushfiqur Rahim</t>
  </si>
  <si>
    <t>2006-2022</t>
  </si>
  <si>
    <t>72*</t>
  </si>
  <si>
    <t>BA King</t>
  </si>
  <si>
    <t>85*</t>
  </si>
  <si>
    <t>KJ Coetzer</t>
  </si>
  <si>
    <t>DPMD Jayawardene</t>
  </si>
  <si>
    <t>2006-2014</t>
  </si>
  <si>
    <t>Riazat Ali Shah</t>
  </si>
  <si>
    <t>98*</t>
  </si>
  <si>
    <t>DJ Mitchell</t>
  </si>
  <si>
    <t>Ahmed Shehzad</t>
  </si>
  <si>
    <t>111*</t>
  </si>
  <si>
    <t>Soumya Sarkar</t>
  </si>
  <si>
    <t>68</t>
  </si>
  <si>
    <t>SR Watson</t>
  </si>
  <si>
    <t>124*</t>
  </si>
  <si>
    <t>MD Shanaka</t>
  </si>
  <si>
    <t>74*</t>
  </si>
  <si>
    <t>CR Ervine</t>
  </si>
  <si>
    <t>70</t>
  </si>
  <si>
    <t>RK Paudel</t>
  </si>
  <si>
    <t>61</t>
  </si>
  <si>
    <t>VP Thamotharam</t>
  </si>
  <si>
    <t>MLT</t>
  </si>
  <si>
    <t>HT Tector</t>
  </si>
  <si>
    <t>J Charles</t>
  </si>
  <si>
    <t>118</t>
  </si>
  <si>
    <t>II Selemani</t>
  </si>
  <si>
    <t>TAN</t>
  </si>
  <si>
    <t>AD Mathews</t>
  </si>
  <si>
    <t>81*</t>
  </si>
  <si>
    <t>Shahid Afridi</t>
  </si>
  <si>
    <t>54*</t>
  </si>
  <si>
    <t>DP Conway</t>
  </si>
  <si>
    <t>2020-2024</t>
  </si>
  <si>
    <t>Haider Butt</t>
  </si>
  <si>
    <t>BHR</t>
  </si>
  <si>
    <t>RP Burl</t>
  </si>
  <si>
    <t>Jatinder Singh</t>
  </si>
  <si>
    <t>OMA</t>
  </si>
  <si>
    <t>73*</t>
  </si>
  <si>
    <t>Asghar Afghan</t>
  </si>
  <si>
    <t>2010-2021</t>
  </si>
  <si>
    <t>62</t>
  </si>
  <si>
    <t>KC Sangakkara</t>
  </si>
  <si>
    <t>Aasif Sheikh</t>
  </si>
  <si>
    <t>Zeeshan Maqsood</t>
  </si>
  <si>
    <t>102*</t>
  </si>
  <si>
    <t>AK Markram</t>
  </si>
  <si>
    <t>LJ Tucker</t>
  </si>
  <si>
    <t>94*</t>
  </si>
  <si>
    <t>MWI</t>
  </si>
  <si>
    <t>JW Jenner</t>
  </si>
  <si>
    <t>JER</t>
  </si>
  <si>
    <t>Aqib Ilyas</t>
  </si>
  <si>
    <t>MH Cross</t>
  </si>
  <si>
    <t>66*</t>
  </si>
  <si>
    <t>O Tuyisenge</t>
  </si>
  <si>
    <t>RWN</t>
  </si>
  <si>
    <t>K Motlhanka</t>
  </si>
  <si>
    <t>BOT</t>
  </si>
  <si>
    <t>IA Karim</t>
  </si>
  <si>
    <t>2013-2024</t>
  </si>
  <si>
    <t>FH Allen</t>
  </si>
  <si>
    <t>137</t>
  </si>
  <si>
    <t>HM Amla</t>
  </si>
  <si>
    <t>2009-2018</t>
  </si>
  <si>
    <t>A Vala</t>
  </si>
  <si>
    <t>GC Wilson</t>
  </si>
  <si>
    <t>2008-2020</t>
  </si>
  <si>
    <t>65*</t>
  </si>
  <si>
    <t>HE van der Dussen</t>
  </si>
  <si>
    <t>2018-2024</t>
  </si>
  <si>
    <t>AR Patwa</t>
  </si>
  <si>
    <t>79</t>
  </si>
  <si>
    <t>DJ Bravo</t>
  </si>
  <si>
    <t>KIC Asalanka</t>
  </si>
  <si>
    <t>80*</t>
  </si>
  <si>
    <t>MP Stoinis</t>
  </si>
  <si>
    <t>BN Cooper</t>
  </si>
  <si>
    <t>2013-2021</t>
  </si>
  <si>
    <t>CS MacLeod</t>
  </si>
  <si>
    <t>74</t>
  </si>
  <si>
    <t>MM Ali</t>
  </si>
  <si>
    <t>Razmal Shigiwal</t>
  </si>
  <si>
    <t>AUT</t>
  </si>
  <si>
    <t>95*</t>
  </si>
  <si>
    <t>RR Pant</t>
  </si>
  <si>
    <t>2017-2024</t>
  </si>
  <si>
    <t>W Madhevere</t>
  </si>
  <si>
    <t>NLTC Perera</t>
  </si>
  <si>
    <t>ICC/SL/World</t>
  </si>
  <si>
    <t>MS Wade</t>
  </si>
  <si>
    <t>80</t>
  </si>
  <si>
    <t>TH David</t>
  </si>
  <si>
    <t>AUS/SGP</t>
  </si>
  <si>
    <t>NS Dhaliwal</t>
  </si>
  <si>
    <t>CAN</t>
  </si>
  <si>
    <t>70*</t>
  </si>
  <si>
    <t>R Satheesan</t>
  </si>
  <si>
    <t>ROM</t>
  </si>
  <si>
    <t>2019-2023</t>
  </si>
  <si>
    <t>GH Dockrell</t>
  </si>
  <si>
    <t>2010-2025</t>
  </si>
  <si>
    <t>58*</t>
  </si>
  <si>
    <t>PD Salt</t>
  </si>
  <si>
    <t>Zubaidi Zulkifle</t>
  </si>
  <si>
    <t>96</t>
  </si>
  <si>
    <t>RG Mukasa</t>
  </si>
  <si>
    <t>Sohail Ahmed</t>
  </si>
  <si>
    <t>Yuvraj Singh</t>
  </si>
  <si>
    <t>2007-2017</t>
  </si>
  <si>
    <t>77*</t>
  </si>
  <si>
    <t>KP Pietersen</t>
  </si>
  <si>
    <t>2005-2013</t>
  </si>
  <si>
    <t>DMW Rawlins</t>
  </si>
  <si>
    <t>BER</t>
  </si>
  <si>
    <t>Hazratullah Zazai</t>
  </si>
  <si>
    <t>162*</t>
  </si>
  <si>
    <t>S Davizi</t>
  </si>
  <si>
    <t>CZK-R</t>
  </si>
  <si>
    <t>D Ndikubwimana</t>
  </si>
  <si>
    <t>69</t>
  </si>
  <si>
    <t>Afif Hossain</t>
  </si>
  <si>
    <t>HAM Shah</t>
  </si>
  <si>
    <t>DEN</t>
  </si>
  <si>
    <t>Usman Patel</t>
  </si>
  <si>
    <t>Asif Khan</t>
  </si>
  <si>
    <t>2023-2025</t>
  </si>
  <si>
    <t>Ibrahim Zadran</t>
  </si>
  <si>
    <t>S Chandramohan</t>
  </si>
  <si>
    <t>SGP</t>
  </si>
  <si>
    <t>SS Iyer</t>
  </si>
  <si>
    <t>Manpreet Singh</t>
  </si>
  <si>
    <t>71</t>
  </si>
  <si>
    <t>O Manishimwe</t>
  </si>
  <si>
    <t>SPD Smith</t>
  </si>
  <si>
    <t>TM Head</t>
  </si>
  <si>
    <t>Taranjeet Singh</t>
  </si>
  <si>
    <t>WTS Porterfield</t>
  </si>
  <si>
    <t>2008-2018</t>
  </si>
  <si>
    <t>72</t>
  </si>
  <si>
    <t>GJ Delany</t>
  </si>
  <si>
    <t>AD Russell</t>
  </si>
  <si>
    <t>A Sharafu</t>
  </si>
  <si>
    <t>90*</t>
  </si>
  <si>
    <t>L Bruce</t>
  </si>
  <si>
    <t>GIBR</t>
  </si>
  <si>
    <t>SI Runsewe</t>
  </si>
  <si>
    <t>NGA</t>
  </si>
  <si>
    <t>LD Chandimal</t>
  </si>
  <si>
    <t>2010-2022</t>
  </si>
  <si>
    <t>SA Edwards</t>
  </si>
  <si>
    <t>99</t>
  </si>
  <si>
    <t>BA Pai</t>
  </si>
  <si>
    <t>RN Patel</t>
  </si>
  <si>
    <t>V Aravind</t>
  </si>
  <si>
    <t>Sarfaraz Ali</t>
  </si>
  <si>
    <t>69*</t>
  </si>
  <si>
    <t>Luqman Butt</t>
  </si>
  <si>
    <t>CAM</t>
  </si>
  <si>
    <t>N Nipiko</t>
  </si>
  <si>
    <t>VAN</t>
  </si>
  <si>
    <t>CJA Amini</t>
  </si>
  <si>
    <t>E Dusingizimana</t>
  </si>
  <si>
    <t>I Liyanage</t>
  </si>
  <si>
    <t>DM Nakrani</t>
  </si>
  <si>
    <t>Samiullah Shinwari</t>
  </si>
  <si>
    <t>Rohan Mustafa</t>
  </si>
  <si>
    <t>2014-2023</t>
  </si>
  <si>
    <t>77</t>
  </si>
  <si>
    <t>F Damiao Couana</t>
  </si>
  <si>
    <t>MOZ</t>
  </si>
  <si>
    <t>104</t>
  </si>
  <si>
    <t>H Klaasen</t>
  </si>
  <si>
    <t>Iftikhar Ahmed</t>
  </si>
  <si>
    <t>62*</t>
  </si>
  <si>
    <t>AP Rajeevan</t>
  </si>
  <si>
    <t>SD Hope</t>
  </si>
  <si>
    <t>S Muniandy</t>
  </si>
  <si>
    <t>60*</t>
  </si>
  <si>
    <t>Saber Zakhil</t>
  </si>
  <si>
    <t>BEL</t>
  </si>
  <si>
    <t>Kamran Akmal</t>
  </si>
  <si>
    <t>Najmul Hossain Shanto</t>
  </si>
  <si>
    <t>ADS Fletcher</t>
  </si>
  <si>
    <t>84*</t>
  </si>
  <si>
    <t>CL White</t>
  </si>
  <si>
    <t>2007-2014</t>
  </si>
  <si>
    <t>SO Hetmyer</t>
  </si>
  <si>
    <t>GC Smith</t>
  </si>
  <si>
    <t>2005-2011</t>
  </si>
  <si>
    <t>Sabbir Rahman</t>
  </si>
  <si>
    <t>Aizaz Khan</t>
  </si>
  <si>
    <t>48*</t>
  </si>
  <si>
    <t>JJ Smit</t>
  </si>
  <si>
    <t>Shaiman Anwar</t>
  </si>
  <si>
    <t>2014-2019</t>
  </si>
  <si>
    <t>117*</t>
  </si>
  <si>
    <t>N Davin</t>
  </si>
  <si>
    <t>Imran Anwar</t>
  </si>
  <si>
    <t>87</t>
  </si>
  <si>
    <t>S Bau</t>
  </si>
  <si>
    <t>LS Livingstone</t>
  </si>
  <si>
    <t>JDS Neesham</t>
  </si>
  <si>
    <t>2012-2025</t>
  </si>
  <si>
    <t>Zeeshan Ali</t>
  </si>
  <si>
    <t>Gulbadin Naib</t>
  </si>
  <si>
    <t>57</t>
  </si>
  <si>
    <t>AP Yadav</t>
  </si>
  <si>
    <t>THA</t>
  </si>
  <si>
    <t>Ahmer Bin</t>
  </si>
  <si>
    <t>Zeeshan Khan</t>
  </si>
  <si>
    <t>115</t>
  </si>
  <si>
    <t>NA Greenwood</t>
  </si>
  <si>
    <t>86*</t>
  </si>
  <si>
    <t>BRM Taylor</t>
  </si>
  <si>
    <t>G Gambhir</t>
  </si>
  <si>
    <t>2007-2012</t>
  </si>
  <si>
    <t>C Campher</t>
  </si>
  <si>
    <t>Kushal Malla</t>
  </si>
  <si>
    <t>137*</t>
  </si>
  <si>
    <t>MD Patel</t>
  </si>
  <si>
    <t>USA</t>
  </si>
  <si>
    <t>Bilal Zalmai</t>
  </si>
  <si>
    <t>SJ Myburgh</t>
  </si>
  <si>
    <t>2012-2022</t>
  </si>
  <si>
    <t>MWR Stokes</t>
  </si>
  <si>
    <t>GUE</t>
  </si>
  <si>
    <t>67*</t>
  </si>
  <si>
    <t>A Johnson</t>
  </si>
  <si>
    <t>Shaheryar Butt</t>
  </si>
  <si>
    <t>E Chigumbura</t>
  </si>
  <si>
    <t>JE Root</t>
  </si>
  <si>
    <t>2012-2019</t>
  </si>
  <si>
    <t>Muhammad Usman</t>
  </si>
  <si>
    <t>Faheem Nazir</t>
  </si>
  <si>
    <t>SUI</t>
  </si>
  <si>
    <t>113</t>
  </si>
  <si>
    <t>LA Dunbar</t>
  </si>
  <si>
    <t>SRB</t>
  </si>
  <si>
    <t>G Malla</t>
  </si>
  <si>
    <t>J Butler</t>
  </si>
  <si>
    <t>TC Barker</t>
  </si>
  <si>
    <t>LUX</t>
  </si>
  <si>
    <t>HC Brook</t>
  </si>
  <si>
    <t>S Ravichandran</t>
  </si>
  <si>
    <t>SV Samson</t>
  </si>
  <si>
    <t>111</t>
  </si>
  <si>
    <t>MNM Aslam</t>
  </si>
  <si>
    <t>55</t>
  </si>
  <si>
    <t>T Manders</t>
  </si>
  <si>
    <t>MA Leask</t>
  </si>
  <si>
    <t>58</t>
  </si>
  <si>
    <t>DM de Silva</t>
  </si>
  <si>
    <t>HL Carlyon</t>
  </si>
  <si>
    <t>KH Prajapati</t>
  </si>
  <si>
    <t>KS Leverock</t>
  </si>
  <si>
    <t>Kamran Khan</t>
  </si>
  <si>
    <t>88</t>
  </si>
  <si>
    <t>B Arora</t>
  </si>
  <si>
    <t>H Lakov</t>
  </si>
  <si>
    <t>BUL</t>
  </si>
  <si>
    <t>2019-2022</t>
  </si>
  <si>
    <t>R Nehonde</t>
  </si>
  <si>
    <t>K Nassoro</t>
  </si>
  <si>
    <t>60</t>
  </si>
  <si>
    <t>SR Taylor</t>
  </si>
  <si>
    <t>Sarfaraz Ahmed</t>
  </si>
  <si>
    <t>V Vijh</t>
  </si>
  <si>
    <t>Chirag Suri</t>
  </si>
  <si>
    <t>2018-2022</t>
  </si>
  <si>
    <t>JP Kotze</t>
  </si>
  <si>
    <t>Mohammad Naim</t>
  </si>
  <si>
    <t>W Barresi</t>
  </si>
  <si>
    <t>L Yamamoto-Lake</t>
  </si>
  <si>
    <t>134*</t>
  </si>
  <si>
    <t>RB Patel</t>
  </si>
  <si>
    <t>68*</t>
  </si>
  <si>
    <t>CG Williams</t>
  </si>
  <si>
    <t>V Saini</t>
  </si>
  <si>
    <t>P Khadka</t>
  </si>
  <si>
    <t>2014-2020</t>
  </si>
  <si>
    <t>AA Obanda</t>
  </si>
  <si>
    <t>2007-2023</t>
  </si>
  <si>
    <t>Ishan Kishan</t>
  </si>
  <si>
    <t>2021-2023</t>
  </si>
  <si>
    <t>Towhid Hridoy</t>
  </si>
  <si>
    <t>IA De Silva</t>
  </si>
  <si>
    <t>2020-2022</t>
  </si>
  <si>
    <t>Shadab Khan</t>
  </si>
  <si>
    <t>52</t>
  </si>
  <si>
    <t>PR Surve</t>
  </si>
  <si>
    <t>INA</t>
  </si>
  <si>
    <t>G Mckeon</t>
  </si>
  <si>
    <t>Fran</t>
  </si>
  <si>
    <t>109</t>
  </si>
  <si>
    <t>MDV</t>
  </si>
  <si>
    <t>M Levitt</t>
  </si>
  <si>
    <t>2024-2025</t>
  </si>
  <si>
    <t>135</t>
  </si>
  <si>
    <t>CAY</t>
  </si>
  <si>
    <t>Basil Hameed</t>
  </si>
  <si>
    <t>51</t>
  </si>
  <si>
    <t>Karanbir Singh</t>
  </si>
  <si>
    <t>V Balakrishnan</t>
  </si>
  <si>
    <t>Muhammad Muneeb</t>
  </si>
  <si>
    <t>CV Anto</t>
  </si>
  <si>
    <t>NT Tilak Varma</t>
  </si>
  <si>
    <t>120*</t>
  </si>
  <si>
    <t>AR Ramjani</t>
  </si>
  <si>
    <t>I Danladi</t>
  </si>
  <si>
    <t>SKS Gill</t>
  </si>
  <si>
    <t>Fiaz Ahmed</t>
  </si>
  <si>
    <t>GD Phillips</t>
  </si>
  <si>
    <t>CH Gayle</t>
  </si>
  <si>
    <t>DJ Malan</t>
  </si>
  <si>
    <t>TM Dilshan</t>
  </si>
  <si>
    <t>2006-2025</t>
  </si>
  <si>
    <t>141*</t>
  </si>
  <si>
    <t>Tanzid Hasan</t>
  </si>
  <si>
    <t>JP Inglis</t>
  </si>
  <si>
    <t>Saim Ayub</t>
  </si>
  <si>
    <t>Abhishek Sharma</t>
  </si>
  <si>
    <t>Asif Ali</t>
  </si>
  <si>
    <t>DK Kesuma</t>
  </si>
  <si>
    <t>Adil Butt</t>
  </si>
  <si>
    <t>SWZ</t>
  </si>
  <si>
    <t>Ahmad Ramdoni</t>
  </si>
  <si>
    <t>46</t>
  </si>
  <si>
    <t>GA Priandana</t>
  </si>
  <si>
    <t>Manan Ali</t>
  </si>
  <si>
    <t>52*</t>
  </si>
  <si>
    <t>T Stubbs</t>
  </si>
  <si>
    <t>76</t>
  </si>
  <si>
    <t>Walid Ghauri</t>
  </si>
  <si>
    <t>NOR</t>
  </si>
  <si>
    <t>Yasim Murtaza</t>
  </si>
  <si>
    <t>Zeeshan Kukikhel</t>
  </si>
  <si>
    <t>HUN</t>
  </si>
  <si>
    <t xml:space="preserve">RG Sharma </t>
  </si>
  <si>
    <t xml:space="preserve">Babar Azam </t>
  </si>
  <si>
    <t xml:space="preserve">V Kohli </t>
  </si>
  <si>
    <t xml:space="preserve">JC Buttler </t>
  </si>
  <si>
    <t xml:space="preserve">PR Stirling </t>
  </si>
  <si>
    <t xml:space="preserve">MJ Guptill </t>
  </si>
  <si>
    <t xml:space="preserve">Mohammad Rizwan </t>
  </si>
  <si>
    <t xml:space="preserve">DA Warner </t>
  </si>
  <si>
    <t xml:space="preserve">Muhammad Waseem </t>
  </si>
  <si>
    <t xml:space="preserve">AJ Finch </t>
  </si>
  <si>
    <t xml:space="preserve">Virandeep Singh </t>
  </si>
  <si>
    <t xml:space="preserve">GJ Maxwell </t>
  </si>
  <si>
    <t xml:space="preserve">Syed Aziz </t>
  </si>
  <si>
    <t xml:space="preserve">SA Yadav </t>
  </si>
  <si>
    <t xml:space="preserve">Sikandar Raza </t>
  </si>
  <si>
    <t xml:space="preserve">DA Miller </t>
  </si>
  <si>
    <t xml:space="preserve">Q de Kock </t>
  </si>
  <si>
    <t xml:space="preserve">KS Williamson </t>
  </si>
  <si>
    <t xml:space="preserve">Litton Das </t>
  </si>
  <si>
    <t xml:space="preserve">Shakib Al Hasan </t>
  </si>
  <si>
    <t xml:space="preserve">Mohammad Hafeez </t>
  </si>
  <si>
    <t xml:space="preserve">EJG Morgan </t>
  </si>
  <si>
    <t xml:space="preserve">Mahmudullah </t>
  </si>
  <si>
    <t xml:space="preserve">Shoaib Malik </t>
  </si>
  <si>
    <t xml:space="preserve">Mohammad Nabi </t>
  </si>
  <si>
    <t xml:space="preserve">A Balbirnie </t>
  </si>
  <si>
    <t xml:space="preserve">RR Hendricks </t>
  </si>
  <si>
    <t xml:space="preserve">Nizakat Khan </t>
  </si>
  <si>
    <t xml:space="preserve">RD Berrington </t>
  </si>
  <si>
    <t xml:space="preserve">MP O'Dowd </t>
  </si>
  <si>
    <t xml:space="preserve">HG Munsey </t>
  </si>
  <si>
    <t xml:space="preserve">Fakhar Zaman </t>
  </si>
  <si>
    <t xml:space="preserve">MDKJ Perera </t>
  </si>
  <si>
    <t xml:space="preserve">N Pooran </t>
  </si>
  <si>
    <t xml:space="preserve">Babar Hayat </t>
  </si>
  <si>
    <t xml:space="preserve">KL Rahul </t>
  </si>
  <si>
    <t xml:space="preserve">P Nissanka </t>
  </si>
  <si>
    <t xml:space="preserve">S Ssesazi </t>
  </si>
  <si>
    <t xml:space="preserve">BKG Mendis </t>
  </si>
  <si>
    <t xml:space="preserve">BB McCullum </t>
  </si>
  <si>
    <t xml:space="preserve">AD Hales </t>
  </si>
  <si>
    <t xml:space="preserve">R Sandaruwan </t>
  </si>
  <si>
    <t xml:space="preserve">Mohammad Shahzad </t>
  </si>
  <si>
    <t xml:space="preserve">MR Marsh </t>
  </si>
  <si>
    <t xml:space="preserve">Sami Sohail </t>
  </si>
  <si>
    <t xml:space="preserve">Muhammad Tanveer </t>
  </si>
  <si>
    <t xml:space="preserve">KJ O'Brien </t>
  </si>
  <si>
    <t xml:space="preserve">DS Airee </t>
  </si>
  <si>
    <t>T Marumani</t>
  </si>
  <si>
    <t>85</t>
  </si>
  <si>
    <t>JN Frylinck</t>
  </si>
  <si>
    <t>134</t>
  </si>
  <si>
    <t>BJ Bennett</t>
  </si>
  <si>
    <t>P Kurup</t>
  </si>
  <si>
    <t>Aqib Iqbal</t>
  </si>
  <si>
    <t>D Kansonkho</t>
  </si>
  <si>
    <t>54</t>
  </si>
  <si>
    <t>Debut Year</t>
  </si>
  <si>
    <t>Last Year</t>
  </si>
  <si>
    <t>DA Miller</t>
  </si>
  <si>
    <t>Shoaib Malik</t>
  </si>
  <si>
    <t>LRPL Taylor</t>
  </si>
  <si>
    <t xml:space="preserve">R Powell </t>
  </si>
  <si>
    <t>JP Duminy</t>
  </si>
  <si>
    <t>NZ/Samoa</t>
  </si>
  <si>
    <t>https://img1.hscicdn.com/image/upload/f_auto,t_ds_w_160,q_50/lsci/db/PICTURES/CMS/381800/381891.png</t>
  </si>
  <si>
    <t>https://img1.hscicdn.com/image/upload/f_auto,t_ds_w_160,q_50/lsci/db/PICTURES/CMS/313200/313261.logo.png</t>
  </si>
  <si>
    <t>https://img1.hscicdn.com/image/upload/f_auto,t_ds_square_w_160,q_50/lsci/db/PICTURES/CMS/313100/313149.logo.png</t>
  </si>
  <si>
    <t>https://img1.hscicdn.com/image/upload/f_auto,t_ds_square_w_160,q_50/lsci/db/PICTURES/CMS/340500/340505.png</t>
  </si>
  <si>
    <t>https://img1.hscicdn.com/image/upload/f_auto,t_ds_square_w_160,q_50/lsci/db/PICTURES/CMS/340400/340493.png</t>
  </si>
  <si>
    <t>https://img1.hscicdn.com/image/upload/f_auto,t_ds_square_w_160,q_50/lsci/db/PICTURES/CMS/382100/382186.png</t>
  </si>
  <si>
    <t>https://img1.hscicdn.com/image/upload/f_auto,t_ds_square_w_160,q_50/lsci/db/PICTURES/CMS/340500/340503.png</t>
  </si>
  <si>
    <t>https://img1.hscicdn.com/image/upload/f_auto,t_ds_square_w_160,q_50/lsci/db/PICTURES/CMS/382700/382733.png</t>
  </si>
  <si>
    <t>https://img1.hscicdn.com/image/upload/f_auto,t_ds_square_w_160,q_50/lsci/db/PICTURES/CMS/341400/341456.png</t>
  </si>
  <si>
    <t>https://img1.hscicdn.com/image/upload/f_auto,t_ds_square_w_160,q_50/lsci/db/PICTURES/CMS/381800/381892.png</t>
  </si>
  <si>
    <t>https://static.cricbuzz.com/a/img/v1/25x18/i1/c776271/hong-kong.jpg</t>
  </si>
  <si>
    <t>https://img1.hscicdn.com/image/upload/f_auto,t_ds_square_w_160,q_50/lsci/db/PICTURES/CMS/313100/313150.logo.png</t>
  </si>
  <si>
    <t>https://img1.hscicdn.com/image/upload/f_auto,t_ds_square_w_160,q_50/lsci/db/PICTURES/CMS/381800/381893.png</t>
  </si>
  <si>
    <t>https://img1.hscicdn.com/image/upload/f_auto,t_ds_square_w_160,q_50/lsci/db/PICTURES/CMS/340000/340047.png</t>
  </si>
  <si>
    <t>https://img1.hscicdn.com/image/upload/f_auto,t_ds_square_w_160,q_50/lsci/db/PICTURES/CMS/317600/317615.png</t>
  </si>
  <si>
    <t>https://img1.hscicdn.com/image/upload/f_auto,t_ds_square_w_160,q_50/lsci/db/PICTURES/CMS/319900/319958.png</t>
  </si>
  <si>
    <t>https://img1.hscicdn.com/image/upload/f_auto,t_ds_square_w_160,q_50/lsci/db/PICTURES/CMS/381800/381857.png</t>
  </si>
  <si>
    <t>https://img1.hscicdn.com/image/upload/f_auto,t_ds_square_w_160,q_50/lsci/db/PICTURES/CMS/381800/381856.png</t>
  </si>
  <si>
    <t>https://img1.hscicdn.com/image/upload/f_auto,t_ds_square_w_160,q_50/lsci/db/PICTURES/CMS/383900/383963.png</t>
  </si>
  <si>
    <t>https://img1.hscicdn.com/image/upload/f_auto,t_ds_square_w_160,q_50/lsci/db/PICTURES/CMS/313100/313196.logo.png</t>
  </si>
  <si>
    <t>https://img1.hscicdn.com/image/upload/f_auto,t_ds_square_w_160,q_50/lsci/db/PICTURES/CMS/383900/383966.png</t>
  </si>
  <si>
    <t>https://img1.hscicdn.com/image/upload/f_auto,t_ds_square_w_160,q_50/lsci/db/PICTURES/CMS/313100/313146.logo.png</t>
  </si>
  <si>
    <t>https://img1.hscicdn.com/image/upload/f_auto,t_ds_square_w_160,q_50/lsci/db/PICTURES/CMS/383900/383973.png</t>
  </si>
  <si>
    <t>https://img1.hscicdn.com/image/upload/f_auto,t_ds_square_w_160,q_50/lsci/db/PICTURES/CMS/382600/382657.png</t>
  </si>
  <si>
    <t>https://img1.hscicdn.com/image/upload/f_auto,t_ds_square_w_160,q_50/lsci/db/PICTURES/CMS/313200/313205.logo.png</t>
  </si>
  <si>
    <t>https://img1.hscicdn.com/image/upload/f_auto,t_ds_square_w_160,q_50/lsci/db/PICTURES/CMS/360500/360559.png</t>
  </si>
  <si>
    <t>https://img1.hscicdn.com/image/upload/f_auto,t_ds_square_w_160,q_50/lsci/db/PICTURES/CMS/381800/381858.png</t>
  </si>
  <si>
    <t>https://img1.hscicdn.com/image/upload/f_auto,t_ds_square_w_160,q_50/lsci/db/PICTURES/CMS/383200/383206.png</t>
  </si>
  <si>
    <t>https://img1.hscicdn.com/image/upload/f_auto,t_ds_square_w_160,q_50/lsci/db/PICTURES/CMS/383900/383965.png</t>
  </si>
  <si>
    <t>https://img1.hscicdn.com/image/upload/f_auto,t_ds_square_w_160,q_50/lsci/db/PICTURES/CMS/383900/383972.png</t>
  </si>
  <si>
    <t>https://img1.hscicdn.com/image/upload/f_auto,t_ds_square_w_160,q_50/lsci/db/PICTURES/CMS/313300/313363.logo.png</t>
  </si>
  <si>
    <t>https://img1.hscicdn.com/image/upload/f_auto,t_ds_square_w_160,q_50/lsci/db/PICTURES/CMS/381800/381855.png</t>
  </si>
  <si>
    <t>https://img1.hscicdn.com/image/upload/f_auto,t_ds_square_w_160,q_50/lsci/db/PICTURES/CMS/383000/383046.png</t>
  </si>
  <si>
    <t>https://img1.hscicdn.com/image/upload/f_auto,t_ds_square_w_160,q_50/lsci/db/PICTURES/CMS/313100/313174.logo.png</t>
  </si>
  <si>
    <t>https://img1.hscicdn.com/image/upload/f_auto,t_ds_square_w_160,q_50/lsci/db/PICTURES/CMS/313400/313431.logo.png</t>
  </si>
  <si>
    <t>https://img1.hscicdn.com/image/upload/f_auto,t_ds_square_w_160,q_50/lsci/db/PICTURES/CMS/313100/313198.logo.png</t>
  </si>
  <si>
    <t>https://img1.hscicdn.com/image/upload/f_auto,t_ds_square_w_160,q_50/lsci/db/PICTURES/CMS/390500/390512.png</t>
  </si>
  <si>
    <t>https://img1.hscicdn.com/image/upload/f_auto,t_ds_square_w_160,q_50/lsci/db/PICTURES/CMS/352600/352691.png</t>
  </si>
  <si>
    <t xml:space="preserve">Rahmanullah Gurbaz </t>
  </si>
  <si>
    <t>Mohammad Nawaz</t>
  </si>
  <si>
    <t>45*</t>
  </si>
  <si>
    <t>https://img1.hscicdn.com/image/upload/f_auto,t_ds_square_w_160,q_50/lsci/db/PICTURES/CMS/381800/381895.png</t>
  </si>
  <si>
    <t>https://img1.hscicdn.com/image/upload/f_auto,t_ds_square_w_160,q_50/lsci/db/PICTURES/CMS/313100/313137.logo.png</t>
  </si>
  <si>
    <t>https://img1.hscicdn.com/image/upload/f_auto,t_ds_square_w_160,q_50/lsci/db/PICTURES/CMS/383000/383044.png</t>
  </si>
  <si>
    <t>https://img1.hscicdn.com/image/upload/f_auto,t_ds_square_w_160,q_50/lsci/db/PICTURES/CMS/383900/383967.png</t>
  </si>
  <si>
    <t>https://img1.hscicdn.com/image/upload/f_auto,t_ds_square_w_160,q_50/lsci/db/PICTURES/CMS/313100/313162.logo.png</t>
  </si>
  <si>
    <t>https://img1.hscicdn.com/image/upload/f_auto,t_ds_square_w_160,q_50/lsci/db/PICTURES/CMS/313100/313135.logo.png</t>
  </si>
  <si>
    <t>https://img1.hscicdn.com/image/upload/f_auto,t_ds_square_w_160,q_50/lsci/db/PICTURES/CMS/383000/383042.png</t>
  </si>
  <si>
    <t>https://img1.hscicdn.com/image/upload/f_auto,t_ds_square_w_160,q_50/lsci/db/PICTURES/CMS/313100/313172.logo.png</t>
  </si>
  <si>
    <t>https://img1.hscicdn.com/image/upload/f_auto,t_ds_square_w_160,q_50/lsci/db/PICTURES/CMS/313200/313266.logo.png</t>
  </si>
  <si>
    <t>https://img1.hscicdn.com/image/upload/f_auto,t_ds_square_w_160,q_50/lsci/db/PICTURES/CMS/386300/386358.png</t>
  </si>
  <si>
    <t>https://img1.hscicdn.com/image/upload/f_auto,t_ds_square_w_160,q_50/lsci/db/PICTURES/CMS/313500/313502.logo.png</t>
  </si>
  <si>
    <t>https://img1.hscicdn.com/image/upload/f_auto,t_ds_square_w_160,q_50/lsci/db/PICTURES/CMS/313100/313197.logo.png</t>
  </si>
  <si>
    <t>https://img1.hscicdn.com/image/upload/f_auto,t_ds_square_w_160,q_50/lsci/db/PICTURES/CMS/313400/313405.logo.png</t>
  </si>
  <si>
    <t>https://img1.hscicdn.com/image/upload/f_auto,t_ds_square_w_160,q_50/lsci/db/PICTURES/CMS/392600/392662.png</t>
  </si>
  <si>
    <t>83*</t>
  </si>
  <si>
    <t>Sahibzada Farhan</t>
  </si>
  <si>
    <t>MJ Santner</t>
  </si>
  <si>
    <t>Shubman Gill</t>
  </si>
  <si>
    <t>126*</t>
  </si>
  <si>
    <t>R Shepherd</t>
  </si>
  <si>
    <t>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</si>
</sst>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border diagonalDown="1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diagonal style="thick">
          <color auto="1"/>
        </diagonal>
        <vertical style="thick">
          <color auto="1"/>
        </vertical>
        <horizontal style="thick">
          <color auto="1"/>
        </horizontal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 Style 1" defaultPivotStyle="PivotStyleLight16">
    <tableStyle name="Table Style 1" pivot="0" count="2" xr9:uid="{D2C75BA3-050D-4B8D-9272-B510A1D7D76F}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A2E5BC6-8A9E-4F1A-B4BC-45B8C853B04C}" autoFormatId="16" applyNumberFormats="0" applyBorderFormats="0" applyFontFormats="0" applyPatternFormats="0" applyAlignmentFormats="0" applyWidthHeightFormats="0">
  <queryTableRefresh nextId="22">
    <queryTableFields count="16">
      <queryTableField id="17" name="Player Name" tableColumnId="17"/>
      <queryTableField id="18" name="Country" tableColumnId="18"/>
      <queryTableField id="2" name="Span" tableColumnId="2"/>
      <queryTableField id="3" name="Mat" tableColumnId="3"/>
      <queryTableField id="4" name="Inns" tableColumnId="4"/>
      <queryTableField id="5" name="NO" tableColumnId="5"/>
      <queryTableField id="6" name="Runs" tableColumnId="6"/>
      <queryTableField id="7" name="HS" tableColumnId="7"/>
      <queryTableField id="8" name="Ave" tableColumnId="8"/>
      <queryTableField id="9" name="BF" tableColumnId="9"/>
      <queryTableField id="10" name="SR" tableColumnId="10"/>
      <queryTableField id="11" name="100" tableColumnId="11"/>
      <queryTableField id="12" name="50" tableColumnId="12"/>
      <queryTableField id="13" name="0" tableColumnId="13"/>
      <queryTableField id="14" name="4s" tableColumnId="14"/>
      <queryTableField id="15" name="6s" tableColumnId="15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FC3DE99-2A1C-46B7-A7E6-BD92AA82E9A2}" autoFormatId="16" applyNumberFormats="0" applyBorderFormats="0" applyFontFormats="0" applyPatternFormats="0" applyAlignmentFormats="0" applyWidthHeightFormats="0">
  <queryTableRefresh nextId="18">
    <queryTableFields count="17">
      <queryTableField id="1" name="Player Name" tableColumnId="1"/>
      <queryTableField id="2" name="Country" tableColumnId="2"/>
      <queryTableField id="3" name="Span" tableColumnId="3"/>
      <queryTableField id="4" name="Mat" tableColumnId="4"/>
      <queryTableField id="5" name="Inns" tableColumnId="5"/>
      <queryTableField id="6" name="NO" tableColumnId="6"/>
      <queryTableField id="7" name="Runs" tableColumnId="7"/>
      <queryTableField id="8" name="HS" tableColumnId="8"/>
      <queryTableField id="9" name="Ave" tableColumnId="9"/>
      <queryTableField id="10" name="BF" tableColumnId="10"/>
      <queryTableField id="11" name="SR" tableColumnId="11"/>
      <queryTableField id="12" name="100" tableColumnId="12"/>
      <queryTableField id="13" name="50" tableColumnId="13"/>
      <queryTableField id="14" name="0" tableColumnId="14"/>
      <queryTableField id="15" name="4s" tableColumnId="15"/>
      <queryTableField id="16" name="6s" tableColumnId="16"/>
      <queryTableField id="17" name="Column1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6190937-959A-44A4-B9B5-A986990102D9}" autoFormatId="16" applyNumberFormats="0" applyBorderFormats="0" applyFontFormats="0" applyPatternFormats="0" applyAlignmentFormats="0" applyWidthHeightFormats="0">
  <queryTableRefresh nextId="19">
    <queryTableFields count="17">
      <queryTableField id="1" name="Player Name" tableColumnId="1"/>
      <queryTableField id="2" name="Country" tableColumnId="2"/>
      <queryTableField id="3" name="Span" tableColumnId="3"/>
      <queryTableField id="4" name="Mat" tableColumnId="4"/>
      <queryTableField id="5" name="Inns" tableColumnId="5"/>
      <queryTableField id="6" name="NO" tableColumnId="6"/>
      <queryTableField id="7" name="Runs" tableColumnId="7"/>
      <queryTableField id="8" name="HS" tableColumnId="8"/>
      <queryTableField id="9" name="Ave" tableColumnId="9"/>
      <queryTableField id="10" name="BF" tableColumnId="10"/>
      <queryTableField id="11" name="SR" tableColumnId="11"/>
      <queryTableField id="12" name="100" tableColumnId="12"/>
      <queryTableField id="13" name="50" tableColumnId="13"/>
      <queryTableField id="14" name="0" tableColumnId="14"/>
      <queryTableField id="15" name="4s" tableColumnId="15"/>
      <queryTableField id="16" name="6s" tableColumnId="16"/>
      <queryTableField id="18" name="Column1" tableColumnId="18"/>
    </queryTableFields>
    <queryTableDeletedFields count="1">
      <deletedField name="Column1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39311C9A-14AA-493D-BDA2-F8ECBB116B1B}" autoFormatId="16" applyNumberFormats="0" applyBorderFormats="0" applyFontFormats="0" applyPatternFormats="0" applyAlignmentFormats="0" applyWidthHeightFormats="0">
  <queryTableRefresh nextId="17">
    <queryTableFields count="16">
      <queryTableField id="1" name="Player Name" tableColumnId="1"/>
      <queryTableField id="2" name="Country" tableColumnId="2"/>
      <queryTableField id="3" name="Span" tableColumnId="3"/>
      <queryTableField id="4" name="Mat" tableColumnId="4"/>
      <queryTableField id="5" name="Inns" tableColumnId="5"/>
      <queryTableField id="6" name="NO" tableColumnId="6"/>
      <queryTableField id="7" name="Runs" tableColumnId="7"/>
      <queryTableField id="8" name="HS" tableColumnId="8"/>
      <queryTableField id="9" name="Ave" tableColumnId="9"/>
      <queryTableField id="10" name="BF" tableColumnId="10"/>
      <queryTableField id="11" name="SR" tableColumnId="11"/>
      <queryTableField id="12" name="100" tableColumnId="12"/>
      <queryTableField id="13" name="50" tableColumnId="13"/>
      <queryTableField id="14" name="0" tableColumnId="14"/>
      <queryTableField id="15" name="4s" tableColumnId="15"/>
      <queryTableField id="16" name="6s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860D996B-67F8-4ACA-8BF5-AEEE47AAFD23}" autoFormatId="16" applyNumberFormats="0" applyBorderFormats="0" applyFontFormats="0" applyPatternFormats="0" applyAlignmentFormats="0" applyWidthHeightFormats="0">
  <queryTableRefresh nextId="17">
    <queryTableFields count="16">
      <queryTableField id="1" name="Player Name" tableColumnId="1"/>
      <queryTableField id="2" name="Country" tableColumnId="2"/>
      <queryTableField id="3" name="Span" tableColumnId="3"/>
      <queryTableField id="4" name="Mat" tableColumnId="4"/>
      <queryTableField id="5" name="Inns" tableColumnId="5"/>
      <queryTableField id="6" name="NO" tableColumnId="6"/>
      <queryTableField id="7" name="Runs" tableColumnId="7"/>
      <queryTableField id="8" name="HS" tableColumnId="8"/>
      <queryTableField id="9" name="Ave" tableColumnId="9"/>
      <queryTableField id="10" name="BF" tableColumnId="10"/>
      <queryTableField id="11" name="SR" tableColumnId="11"/>
      <queryTableField id="12" name="100" tableColumnId="12"/>
      <queryTableField id="13" name="50" tableColumnId="13"/>
      <queryTableField id="14" name="0" tableColumnId="14"/>
      <queryTableField id="15" name="4s" tableColumnId="15"/>
      <queryTableField id="16" name="6s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035372E0-4AC4-4B0C-A1D4-AD02752EA7F7}" autoFormatId="16" applyNumberFormats="0" applyBorderFormats="0" applyFontFormats="0" applyPatternFormats="0" applyAlignmentFormats="0" applyWidthHeightFormats="0">
  <queryTableRefresh nextId="17">
    <queryTableFields count="16">
      <queryTableField id="1" name="Player Name" tableColumnId="1"/>
      <queryTableField id="2" name="Country" tableColumnId="2"/>
      <queryTableField id="3" name="Span" tableColumnId="3"/>
      <queryTableField id="4" name="Mat" tableColumnId="4"/>
      <queryTableField id="5" name="Inns" tableColumnId="5"/>
      <queryTableField id="6" name="NO" tableColumnId="6"/>
      <queryTableField id="7" name="Runs" tableColumnId="7"/>
      <queryTableField id="8" name="HS" tableColumnId="8"/>
      <queryTableField id="9" name="Ave" tableColumnId="9"/>
      <queryTableField id="10" name="BF" tableColumnId="10"/>
      <queryTableField id="11" name="SR" tableColumnId="11"/>
      <queryTableField id="12" name="100" tableColumnId="12"/>
      <queryTableField id="13" name="50" tableColumnId="13"/>
      <queryTableField id="14" name="0" tableColumnId="14"/>
      <queryTableField id="15" name="4s" tableColumnId="15"/>
      <queryTableField id="16" name="6s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07F1A464-503D-4F49-8433-CDC3C65E2124}" autoFormatId="16" applyNumberFormats="0" applyBorderFormats="0" applyFontFormats="0" applyPatternFormats="0" applyAlignmentFormats="0" applyWidthHeightFormats="0">
  <queryTableRefresh nextId="28">
    <queryTableFields count="17">
      <queryTableField id="1" name="Player Name" tableColumnId="1"/>
      <queryTableField id="2" name="Country" tableColumnId="2"/>
      <queryTableField id="22" name="Debut Year" tableColumnId="3"/>
      <queryTableField id="23" name="Last Year" tableColumnId="17"/>
      <queryTableField id="4" name="Mat" tableColumnId="4"/>
      <queryTableField id="5" name="Inns" tableColumnId="5"/>
      <queryTableField id="6" name="NO" tableColumnId="6"/>
      <queryTableField id="7" name="Runs" tableColumnId="7"/>
      <queryTableField id="8" name="HS" tableColumnId="8"/>
      <queryTableField id="9" name="Ave" tableColumnId="9"/>
      <queryTableField id="10" name="BF" tableColumnId="10"/>
      <queryTableField id="11" name="SR" tableColumnId="11"/>
      <queryTableField id="12" name="100" tableColumnId="12"/>
      <queryTableField id="13" name="50" tableColumnId="13"/>
      <queryTableField id="14" name="0" tableColumnId="14"/>
      <queryTableField id="15" name="4s" tableColumnId="15"/>
      <queryTableField id="16" name="6s" tableColumnId="16"/>
    </queryTableFields>
    <queryTableDeletedFields count="1">
      <deletedField name="Column1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1" xr16:uid="{D498932E-D4BA-4DA5-86E4-3A3A1EF2EBF5}" autoFormatId="16" applyNumberFormats="0" applyBorderFormats="0" applyFontFormats="0" applyPatternFormats="0" applyAlignmentFormats="0" applyWidthHeightFormats="0">
  <queryTableRefresh nextId="20">
    <queryTableFields count="18">
      <queryTableField id="1" name="Player Name" tableColumnId="1"/>
      <queryTableField id="2" name="Country" tableColumnId="2"/>
      <queryTableField id="3" name="Debut Year" tableColumnId="3"/>
      <queryTableField id="4" name="Last Year" tableColumnId="4"/>
      <queryTableField id="5" name="Mat" tableColumnId="5"/>
      <queryTableField id="6" name="Inns" tableColumnId="6"/>
      <queryTableField id="7" name="NO" tableColumnId="7"/>
      <queryTableField id="8" name="Runs" tableColumnId="8"/>
      <queryTableField id="9" name="HS" tableColumnId="9"/>
      <queryTableField id="10" name="Ave" tableColumnId="10"/>
      <queryTableField id="11" name="BF" tableColumnId="11"/>
      <queryTableField id="12" name="SR" tableColumnId="12"/>
      <queryTableField id="13" name="100" tableColumnId="13"/>
      <queryTableField id="14" name="50" tableColumnId="14"/>
      <queryTableField id="15" name="0" tableColumnId="15"/>
      <queryTableField id="16" name="4s" tableColumnId="16"/>
      <queryTableField id="17" name="6s" tableColumnId="17"/>
      <queryTableField id="19" name="Column1" tableColumnId="18"/>
    </queryTableFields>
    <queryTableDeletedFields count="1">
      <deletedField name="Column1"/>
    </queryTableDeletedFields>
  </queryTableRefresh>
  <extLst>
    <ext xmlns:x15="http://schemas.microsoft.com/office/spreadsheetml/2010/11/main" uri="{883FBD77-0823-4a55-B5E3-86C4891E6966}">
      <x15:queryTable sourceDataName="Query - Top 300 T20I Player (2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1D58E1-114D-4D03-B73F-277BD094736C}" name="Overall_figures" displayName="Overall_figures" ref="A1:P51" tableType="queryTable" totalsRowShown="0">
  <autoFilter ref="A1:P51" xr:uid="{8B1D58E1-114D-4D03-B73F-277BD094736C}"/>
  <tableColumns count="16">
    <tableColumn id="17" xr3:uid="{F3BE1CC9-8951-415D-98F3-E52547DAC4C8}" uniqueName="17" name="Player Name" queryTableFieldId="17" dataDxfId="33"/>
    <tableColumn id="18" xr3:uid="{D22B6FF3-6A11-4D91-A11F-590E34322268}" uniqueName="18" name="Country" queryTableFieldId="18" dataDxfId="32"/>
    <tableColumn id="2" xr3:uid="{2BB5E25D-2E21-47EA-BB12-9761A3011D7F}" uniqueName="2" name="Span" queryTableFieldId="2" dataDxfId="31"/>
    <tableColumn id="3" xr3:uid="{C76DB912-1554-4A8D-BA48-EE989872BD6B}" uniqueName="3" name="Mat" queryTableFieldId="3"/>
    <tableColumn id="4" xr3:uid="{DF5B7583-BB2A-48B5-A06C-30CC80606258}" uniqueName="4" name="Inns" queryTableFieldId="4"/>
    <tableColumn id="5" xr3:uid="{54AD2610-0EBE-448F-A1AE-0D05911A1C31}" uniqueName="5" name="NO" queryTableFieldId="5"/>
    <tableColumn id="6" xr3:uid="{15E7395E-1AFB-4847-8041-026C0A0E5EF7}" uniqueName="6" name="Runs" queryTableFieldId="6"/>
    <tableColumn id="7" xr3:uid="{8D140D25-C1F5-4F62-BCA5-B78EB314BA5F}" uniqueName="7" name="HS" queryTableFieldId="7" dataDxfId="30"/>
    <tableColumn id="8" xr3:uid="{4C6B5F30-6620-4B68-BAA1-99174C978E07}" uniqueName="8" name="Ave" queryTableFieldId="8"/>
    <tableColumn id="9" xr3:uid="{F4F46733-D0D5-40DF-B730-BB450A9F0A5E}" uniqueName="9" name="BF" queryTableFieldId="9"/>
    <tableColumn id="10" xr3:uid="{5142C21B-20D0-4570-BEA7-4C024AA84579}" uniqueName="10" name="SR" queryTableFieldId="10"/>
    <tableColumn id="11" xr3:uid="{BF97DBC4-2482-40F8-B65F-CF684E50C5E9}" uniqueName="11" name="100" queryTableFieldId="11"/>
    <tableColumn id="12" xr3:uid="{CC2A15B4-348A-47E5-B150-2B40B25F6086}" uniqueName="12" name="50" queryTableFieldId="12"/>
    <tableColumn id="13" xr3:uid="{247C4FE0-5DDF-4B62-9DC5-51D0A335F2B9}" uniqueName="13" name="0" queryTableFieldId="13"/>
    <tableColumn id="14" xr3:uid="{A2E79F91-F0AD-4F80-AFB7-F6141A5B00BA}" uniqueName="14" name="4s" queryTableFieldId="14"/>
    <tableColumn id="15" xr3:uid="{F2682F2B-389B-4005-9B50-18A63C4667E6}" uniqueName="15" name="6s" queryTableFieldId="15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808309-6658-4A31-B920-E71B694AEC35}" name="Overall_figures__2" displayName="Overall_figures__2" ref="A1:Q51" tableType="queryTable" totalsRowShown="0">
  <autoFilter ref="A1:Q51" xr:uid="{45808309-6658-4A31-B920-E71B694AEC35}"/>
  <tableColumns count="17">
    <tableColumn id="1" xr3:uid="{2D78D9C6-344C-4370-917B-4F9121B67C49}" uniqueName="1" name="Player Name" queryTableFieldId="1" dataDxfId="29"/>
    <tableColumn id="2" xr3:uid="{4F33CECD-F6CB-4675-BEE1-255230308366}" uniqueName="2" name="Country" queryTableFieldId="2" dataDxfId="28"/>
    <tableColumn id="3" xr3:uid="{814D3AE3-234C-44A9-B63F-DAF79621D9C9}" uniqueName="3" name="Span" queryTableFieldId="3" dataDxfId="27"/>
    <tableColumn id="4" xr3:uid="{E6F360B5-B0E4-4B61-84C9-B9507292ED60}" uniqueName="4" name="Mat" queryTableFieldId="4"/>
    <tableColumn id="5" xr3:uid="{3572680F-7802-47A6-9BCB-2F64B4007CC1}" uniqueName="5" name="Inns" queryTableFieldId="5"/>
    <tableColumn id="6" xr3:uid="{1B041FD1-E2C4-4A9A-9279-E832B249BE54}" uniqueName="6" name="NO" queryTableFieldId="6"/>
    <tableColumn id="7" xr3:uid="{DCBE902B-E552-4D14-BB03-A7E903DEC3D7}" uniqueName="7" name="Runs" queryTableFieldId="7"/>
    <tableColumn id="8" xr3:uid="{8873F62C-BC0C-47AC-B917-FAB8921323A1}" uniqueName="8" name="HS" queryTableFieldId="8" dataDxfId="26"/>
    <tableColumn id="9" xr3:uid="{4DE0BDD5-EABC-43C5-9B09-DD01BF8F23ED}" uniqueName="9" name="Ave" queryTableFieldId="9"/>
    <tableColumn id="10" xr3:uid="{0392BE46-CB84-407D-AE71-0A5928CDD459}" uniqueName="10" name="BF" queryTableFieldId="10"/>
    <tableColumn id="11" xr3:uid="{57D652DD-E1C1-4745-ACDF-E8DB38708D73}" uniqueName="11" name="SR" queryTableFieldId="11"/>
    <tableColumn id="12" xr3:uid="{37CBD637-3AB2-426C-BD96-E73D75773424}" uniqueName="12" name="100" queryTableFieldId="12"/>
    <tableColumn id="13" xr3:uid="{6A1391FD-1006-4167-99A7-AE0A600C64AD}" uniqueName="13" name="50" queryTableFieldId="13"/>
    <tableColumn id="14" xr3:uid="{468E77D0-1BC6-4EC5-8878-0BAD1C11FBAC}" uniqueName="14" name="0" queryTableFieldId="14"/>
    <tableColumn id="15" xr3:uid="{B6E6D823-886B-45A7-8106-FBF7EF9F9120}" uniqueName="15" name="4s" queryTableFieldId="15"/>
    <tableColumn id="16" xr3:uid="{D15EFB0C-350A-4712-8ECC-3DE3B8FF2F8A}" uniqueName="16" name="6s" queryTableFieldId="16"/>
    <tableColumn id="17" xr3:uid="{C6D92340-1C0E-4BAD-8527-B251C3C38C6D}" uniqueName="17" name="Column1" queryTableFieldId="17" dataDxfId="2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CB9F04-AEC7-4ECC-B9DF-6D5A0797460F}" name="Overall_figures__3" displayName="Overall_figures__3" ref="A1:Q51" tableType="queryTable" totalsRowShown="0">
  <autoFilter ref="A1:Q51" xr:uid="{22CB9F04-AEC7-4ECC-B9DF-6D5A0797460F}"/>
  <tableColumns count="17">
    <tableColumn id="1" xr3:uid="{09FA4B74-949D-4395-B019-3633D3017EE9}" uniqueName="1" name="Player Name" queryTableFieldId="1" dataDxfId="24"/>
    <tableColumn id="2" xr3:uid="{4671C2FB-06AA-4E19-A1E8-B1A79D956DAC}" uniqueName="2" name="Country" queryTableFieldId="2" dataDxfId="23"/>
    <tableColumn id="3" xr3:uid="{3B57BFFA-82B9-4DFA-B8A1-BB6D2BDF7C36}" uniqueName="3" name="Span" queryTableFieldId="3" dataDxfId="22"/>
    <tableColumn id="4" xr3:uid="{08376CDD-EE46-4657-98E9-AA6A3521522F}" uniqueName="4" name="Mat" queryTableFieldId="4"/>
    <tableColumn id="5" xr3:uid="{AB3FE09F-D551-40A4-A065-EA2A3E2A5A34}" uniqueName="5" name="Inns" queryTableFieldId="5"/>
    <tableColumn id="6" xr3:uid="{E3DC5DA5-6684-4B61-9BA6-280BC65E2B31}" uniqueName="6" name="NO" queryTableFieldId="6"/>
    <tableColumn id="7" xr3:uid="{EA6503F9-7E91-4196-AA38-D5F8B0391203}" uniqueName="7" name="Runs" queryTableFieldId="7"/>
    <tableColumn id="8" xr3:uid="{B026A985-AFD5-44F2-B26A-45BDCBF395E2}" uniqueName="8" name="HS" queryTableFieldId="8" dataDxfId="21"/>
    <tableColumn id="9" xr3:uid="{2375453E-C7B3-4008-8CFF-E68C1B44A1BD}" uniqueName="9" name="Ave" queryTableFieldId="9"/>
    <tableColumn id="10" xr3:uid="{62E7BADC-5BC6-48CD-AE93-B25E386D9343}" uniqueName="10" name="BF" queryTableFieldId="10"/>
    <tableColumn id="11" xr3:uid="{A896FF3C-C18F-489C-9EBD-ABFD443E261B}" uniqueName="11" name="SR" queryTableFieldId="11"/>
    <tableColumn id="12" xr3:uid="{9BD516A3-EB66-44C4-9977-09EC6533716C}" uniqueName="12" name="100" queryTableFieldId="12"/>
    <tableColumn id="13" xr3:uid="{A7D3ED7F-7C6E-415F-BAC1-CC5023818265}" uniqueName="13" name="50" queryTableFieldId="13"/>
    <tableColumn id="14" xr3:uid="{418AEDE5-20C9-4718-98F8-8C3F65D5BFD7}" uniqueName="14" name="0" queryTableFieldId="14"/>
    <tableColumn id="15" xr3:uid="{EBB3E1C7-E8D5-4A21-8F63-FB7C187D0408}" uniqueName="15" name="4s" queryTableFieldId="15"/>
    <tableColumn id="16" xr3:uid="{46BE0272-E728-4174-8F1A-CED91552347E}" uniqueName="16" name="6s" queryTableFieldId="16"/>
    <tableColumn id="18" xr3:uid="{0E726198-E870-40E7-8E8F-6F881D8E4887}" uniqueName="18" name="Column1" queryTableFieldId="18" dataDxfId="20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947E5B-2781-4F95-9F63-3AF5AEFD4A70}" name="Overall_figures__4" displayName="Overall_figures__4" ref="A1:P51" tableType="queryTable" totalsRowShown="0">
  <autoFilter ref="A1:P51" xr:uid="{39947E5B-2781-4F95-9F63-3AF5AEFD4A70}"/>
  <tableColumns count="16">
    <tableColumn id="1" xr3:uid="{49C56E6C-21FD-45B5-9AD3-71D0EB49190E}" uniqueName="1" name="Player Name" queryTableFieldId="1" dataDxfId="19"/>
    <tableColumn id="2" xr3:uid="{E30C55B6-3128-4927-B7E6-42C7DE834EDD}" uniqueName="2" name="Country" queryTableFieldId="2" dataDxfId="18"/>
    <tableColumn id="3" xr3:uid="{58E6F4E2-F7D2-4C50-B7C9-A3D6A1B67042}" uniqueName="3" name="Span" queryTableFieldId="3" dataDxfId="17"/>
    <tableColumn id="4" xr3:uid="{F052471C-0D22-47EA-A955-7E0EB1F74A3B}" uniqueName="4" name="Mat" queryTableFieldId="4"/>
    <tableColumn id="5" xr3:uid="{EF761372-F5A1-4EE9-A722-F1C43AFE78D3}" uniqueName="5" name="Inns" queryTableFieldId="5"/>
    <tableColumn id="6" xr3:uid="{EBE3A35B-FBF9-4CF2-90A2-8348BD2FD40C}" uniqueName="6" name="NO" queryTableFieldId="6"/>
    <tableColumn id="7" xr3:uid="{F49A6FC1-E128-4941-A813-6A477A074EEC}" uniqueName="7" name="Runs" queryTableFieldId="7"/>
    <tableColumn id="8" xr3:uid="{BB4927CF-BD82-4564-BDCB-68C3587E1B5B}" uniqueName="8" name="HS" queryTableFieldId="8" dataDxfId="16"/>
    <tableColumn id="9" xr3:uid="{19C8816F-FEBF-4436-A2C8-2EE69E660788}" uniqueName="9" name="Ave" queryTableFieldId="9"/>
    <tableColumn id="10" xr3:uid="{7829BC63-00CA-471C-95B6-83B4D3E0E4DC}" uniqueName="10" name="BF" queryTableFieldId="10"/>
    <tableColumn id="11" xr3:uid="{DD2B5DAC-6C19-4267-846C-7F183B606343}" uniqueName="11" name="SR" queryTableFieldId="11"/>
    <tableColumn id="12" xr3:uid="{ACDCA691-65A3-479D-BBAB-06F227550B66}" uniqueName="12" name="100" queryTableFieldId="12"/>
    <tableColumn id="13" xr3:uid="{1EE19473-56F2-4BBA-BD17-B7C635525475}" uniqueName="13" name="50" queryTableFieldId="13"/>
    <tableColumn id="14" xr3:uid="{8A055FD0-82DD-48C8-9A65-1353304FF4F2}" uniqueName="14" name="0" queryTableFieldId="14"/>
    <tableColumn id="15" xr3:uid="{1F4D7A98-D8F1-4B37-B4CF-21317BC7E50E}" uniqueName="15" name="4s" queryTableFieldId="15"/>
    <tableColumn id="16" xr3:uid="{BA6FB24D-9187-47D3-A161-13648A4B0954}" uniqueName="16" name="6s" queryTableFieldId="16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CAFA54-1B05-456F-8571-1277D5BF228B}" name="Overall_figures__5" displayName="Overall_figures__5" ref="A1:P51" tableType="queryTable" totalsRowShown="0">
  <autoFilter ref="A1:P51" xr:uid="{9CCAFA54-1B05-456F-8571-1277D5BF228B}"/>
  <tableColumns count="16">
    <tableColumn id="1" xr3:uid="{1E9FC0E7-1FD0-4413-A22B-4892EE9D2A42}" uniqueName="1" name="Player Name" queryTableFieldId="1" dataDxfId="15"/>
    <tableColumn id="2" xr3:uid="{9430FD2C-0A88-4813-A162-5920190647B1}" uniqueName="2" name="Country" queryTableFieldId="2" dataDxfId="14"/>
    <tableColumn id="3" xr3:uid="{54B8E49A-A3C0-4B2C-A7EA-586D5A015494}" uniqueName="3" name="Span" queryTableFieldId="3" dataDxfId="13"/>
    <tableColumn id="4" xr3:uid="{A2EC00CA-636F-49A0-8ED6-9DAFDC6971DB}" uniqueName="4" name="Mat" queryTableFieldId="4"/>
    <tableColumn id="5" xr3:uid="{553E4DBC-05EA-42B9-89C0-E95464C4D25D}" uniqueName="5" name="Inns" queryTableFieldId="5"/>
    <tableColumn id="6" xr3:uid="{52BE414D-A034-4D37-81E6-8C7DB4458B6A}" uniqueName="6" name="NO" queryTableFieldId="6"/>
    <tableColumn id="7" xr3:uid="{CC62453F-1C39-4AB0-B781-C6D3BD7CDA65}" uniqueName="7" name="Runs" queryTableFieldId="7"/>
    <tableColumn id="8" xr3:uid="{4CD7A1A1-BC70-4CFF-82D7-2C50DD7A9422}" uniqueName="8" name="HS" queryTableFieldId="8" dataDxfId="12"/>
    <tableColumn id="9" xr3:uid="{BEB31130-EE56-4D89-A1BB-6818218FD5FC}" uniqueName="9" name="Ave" queryTableFieldId="9"/>
    <tableColumn id="10" xr3:uid="{F2534997-4DD4-4FD6-A29D-0EB7F838E280}" uniqueName="10" name="BF" queryTableFieldId="10"/>
    <tableColumn id="11" xr3:uid="{BADAF898-BAF1-4AA6-8BDD-F2B1E265C0F4}" uniqueName="11" name="SR" queryTableFieldId="11"/>
    <tableColumn id="12" xr3:uid="{7249D05F-A961-43CF-A03C-66C110065614}" uniqueName="12" name="100" queryTableFieldId="12"/>
    <tableColumn id="13" xr3:uid="{BE1D110F-9355-498B-A8EB-B7CA7D31FC2A}" uniqueName="13" name="50" queryTableFieldId="13"/>
    <tableColumn id="14" xr3:uid="{051338EA-40A8-4ACD-821D-7C62EB4AA35F}" uniqueName="14" name="0" queryTableFieldId="14"/>
    <tableColumn id="15" xr3:uid="{2203F5C3-B116-425D-BE3D-7A00CC8429B7}" uniqueName="15" name="4s" queryTableFieldId="15"/>
    <tableColumn id="16" xr3:uid="{00E61373-71DB-44DD-89E9-F802E66BADFC}" uniqueName="16" name="6s" queryTableFieldId="16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B8B394-3EEE-4A92-8C10-CFC5B42E34BF}" name="Overall_figures__6" displayName="Overall_figures__6" ref="A1:P51" tableType="queryTable" totalsRowShown="0">
  <autoFilter ref="A1:P51" xr:uid="{A8B8B394-3EEE-4A92-8C10-CFC5B42E34BF}"/>
  <tableColumns count="16">
    <tableColumn id="1" xr3:uid="{FC1E5288-0307-4F2C-89D4-5B4E003D0F41}" uniqueName="1" name="Player Name" queryTableFieldId="1" dataDxfId="11"/>
    <tableColumn id="2" xr3:uid="{EC072E8E-BBD5-4866-AAF4-7248AC885CE2}" uniqueName="2" name="Country" queryTableFieldId="2" dataDxfId="10"/>
    <tableColumn id="3" xr3:uid="{42FB7324-1C8A-4CC7-97C7-23A139CA57C7}" uniqueName="3" name="Span" queryTableFieldId="3" dataDxfId="9"/>
    <tableColumn id="4" xr3:uid="{A839A1D1-DB6E-401E-B9E0-E1BF43514563}" uniqueName="4" name="Mat" queryTableFieldId="4"/>
    <tableColumn id="5" xr3:uid="{4398365E-E6EC-40B0-A04B-1DFBE59FCB40}" uniqueName="5" name="Inns" queryTableFieldId="5"/>
    <tableColumn id="6" xr3:uid="{70E31D1D-5F68-4CE6-8B75-18B807EDCBF1}" uniqueName="6" name="NO" queryTableFieldId="6"/>
    <tableColumn id="7" xr3:uid="{6593E4A9-4F44-4D23-9AF3-993AC03BA96C}" uniqueName="7" name="Runs" queryTableFieldId="7"/>
    <tableColumn id="8" xr3:uid="{3EB8D010-B6F2-4105-90C8-07F918F79628}" uniqueName="8" name="HS" queryTableFieldId="8" dataDxfId="8"/>
    <tableColumn id="9" xr3:uid="{6B567BAA-05F1-4CD3-AD30-2614844F2E1F}" uniqueName="9" name="Ave" queryTableFieldId="9"/>
    <tableColumn id="10" xr3:uid="{66B66559-CA39-409A-8875-79128B4B9657}" uniqueName="10" name="BF" queryTableFieldId="10"/>
    <tableColumn id="11" xr3:uid="{B8E5BDDC-2675-489D-907D-694268079FB0}" uniqueName="11" name="SR" queryTableFieldId="11"/>
    <tableColumn id="12" xr3:uid="{2B0F885F-5955-487D-9970-A25E08683D49}" uniqueName="12" name="100" queryTableFieldId="12"/>
    <tableColumn id="13" xr3:uid="{75F39146-78AE-4121-9DBB-11ADF0837F1F}" uniqueName="13" name="50" queryTableFieldId="13"/>
    <tableColumn id="14" xr3:uid="{422AC0F6-CA64-48DD-B3A5-AD69DBEBF166}" uniqueName="14" name="0" queryTableFieldId="14"/>
    <tableColumn id="15" xr3:uid="{7212716B-E79C-4A47-86BA-2003475837D2}" uniqueName="15" name="4s" queryTableFieldId="15"/>
    <tableColumn id="16" xr3:uid="{21FCF218-4BC1-4C56-B9DD-006D9996E5AE}" uniqueName="16" name="6s" queryTableFieldId="16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C4EA7C9-B1D0-412A-BB4C-7357DD2E18A3}" name="Top_300_T20I_Player" displayName="Top_300_T20I_Player" ref="A1:Q301" tableType="queryTable" totalsRowShown="0">
  <autoFilter ref="A1:Q301" xr:uid="{DC4EA7C9-B1D0-412A-BB4C-7357DD2E18A3}"/>
  <tableColumns count="17">
    <tableColumn id="1" xr3:uid="{7A006343-5EF4-424F-833A-0DE48C5E95A0}" uniqueName="1" name="Player Name" queryTableFieldId="1" dataDxfId="7"/>
    <tableColumn id="2" xr3:uid="{7662B545-0F4C-4189-A5F3-A91214534697}" uniqueName="2" name="Country" queryTableFieldId="2" dataDxfId="6"/>
    <tableColumn id="3" xr3:uid="{1D78DB36-D197-4BD9-A19C-352922EBF513}" uniqueName="3" name="Debut Year" queryTableFieldId="22" dataDxfId="5"/>
    <tableColumn id="17" xr3:uid="{113F0DFB-CE18-4AB2-8CD5-780194752C83}" uniqueName="17" name="Last Year" queryTableFieldId="23" dataDxfId="4"/>
    <tableColumn id="4" xr3:uid="{F88F3E0B-CCE1-441B-A7DA-C89276CA7D01}" uniqueName="4" name="Mat" queryTableFieldId="4"/>
    <tableColumn id="5" xr3:uid="{9D1D8969-8FFA-4555-B867-6F155D8DA0B3}" uniqueName="5" name="Inns" queryTableFieldId="5"/>
    <tableColumn id="6" xr3:uid="{064B1B44-D03B-4AFB-BB2E-8BFDF28BF3BA}" uniqueName="6" name="NO" queryTableFieldId="6"/>
    <tableColumn id="7" xr3:uid="{CF505D7A-49F3-4303-AF3E-E4BCB258F109}" uniqueName="7" name="Runs" queryTableFieldId="7"/>
    <tableColumn id="8" xr3:uid="{6BDF0707-BC37-496F-8FEC-933403E80EA2}" uniqueName="8" name="HS" queryTableFieldId="8" dataDxfId="3"/>
    <tableColumn id="9" xr3:uid="{E3C21B94-BF5E-4E02-B595-13C9BD0F4C92}" uniqueName="9" name="Ave" queryTableFieldId="9"/>
    <tableColumn id="10" xr3:uid="{A2E6D292-FF24-4E20-AA10-31D6353A9DAA}" uniqueName="10" name="BF" queryTableFieldId="10"/>
    <tableColumn id="11" xr3:uid="{C90322D9-8860-4577-88A9-1E2F6B110632}" uniqueName="11" name="SR" queryTableFieldId="11"/>
    <tableColumn id="12" xr3:uid="{26DBBE80-F9D9-471E-8EA8-0A6910A9BD08}" uniqueName="12" name="100" queryTableFieldId="12"/>
    <tableColumn id="13" xr3:uid="{18D60E72-2907-4C19-B123-03AAAF42A606}" uniqueName="13" name="50" queryTableFieldId="13"/>
    <tableColumn id="14" xr3:uid="{8BFC4621-4217-4B06-806F-AFC353F6C5DC}" uniqueName="14" name="0" queryTableFieldId="14"/>
    <tableColumn id="15" xr3:uid="{9BBA4832-06DB-42D8-8F1F-57FC0E15D889}" uniqueName="15" name="4s" queryTableFieldId="15"/>
    <tableColumn id="16" xr3:uid="{846B9963-5812-4849-B0E7-5437D27190C0}" uniqueName="16" name="6s" queryTableFieldId="16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066728-76C5-4549-A0B2-0F194B8E2E11}" name="Top_300_T20I_Player__2" displayName="Top_300_T20I_Player__2" ref="A1:R11" tableType="queryTable" totalsRowShown="0">
  <autoFilter ref="A1:R11" xr:uid="{38066728-76C5-4549-A0B2-0F194B8E2E11}"/>
  <tableColumns count="18">
    <tableColumn id="1" xr3:uid="{D5F66D19-2834-4A22-A1D0-9C951B6B6B03}" uniqueName="1" name="Player Name" queryTableFieldId="1" dataDxfId="2"/>
    <tableColumn id="2" xr3:uid="{C22D1AB6-26DA-47C7-8D34-B79FDD51B7B1}" uniqueName="2" name="Country" queryTableFieldId="2" dataDxfId="1"/>
    <tableColumn id="3" xr3:uid="{C4323E53-801C-4636-85BB-6F88D6B180AA}" uniqueName="3" name="Debut Year" queryTableFieldId="3"/>
    <tableColumn id="4" xr3:uid="{DE623357-61B6-4059-94F7-4ECC327FCAD2}" uniqueName="4" name="Last Year" queryTableFieldId="4"/>
    <tableColumn id="5" xr3:uid="{646268FE-43FB-426A-81FD-93B96D395683}" uniqueName="5" name="Mat" queryTableFieldId="5"/>
    <tableColumn id="6" xr3:uid="{06631267-E8AD-40AB-927C-B2C28E40B683}" uniqueName="6" name="Inns" queryTableFieldId="6"/>
    <tableColumn id="7" xr3:uid="{CB05F14F-6093-4648-A840-04E8ECA32E4B}" uniqueName="7" name="NO" queryTableFieldId="7"/>
    <tableColumn id="8" xr3:uid="{B3222F15-E76F-4C87-A56F-F4FA3FBEE8EA}" uniqueName="8" name="Runs" queryTableFieldId="8"/>
    <tableColumn id="9" xr3:uid="{6176B456-5FD1-40C8-A098-1EF6E89F1DA1}" uniqueName="9" name="HS" queryTableFieldId="9"/>
    <tableColumn id="10" xr3:uid="{967A0FA4-C3D1-40A7-9379-9EDFACBFA6AB}" uniqueName="10" name="Ave" queryTableFieldId="10"/>
    <tableColumn id="11" xr3:uid="{72708372-CC5D-4B34-BC0B-9700BBBFF654}" uniqueName="11" name="BF" queryTableFieldId="11"/>
    <tableColumn id="12" xr3:uid="{239F9393-9869-4E66-AC90-FAE2F0564ECB}" uniqueName="12" name="SR" queryTableFieldId="12"/>
    <tableColumn id="13" xr3:uid="{BA3D169B-42BF-41CD-BAB8-007A4A8B63C5}" uniqueName="13" name="100" queryTableFieldId="13"/>
    <tableColumn id="14" xr3:uid="{DDF4427D-CA8B-44A1-9660-381F81C3E433}" uniqueName="14" name="50" queryTableFieldId="14"/>
    <tableColumn id="15" xr3:uid="{8B93E5A4-B27A-402E-AF2E-26AA6AB82912}" uniqueName="15" name="0" queryTableFieldId="15"/>
    <tableColumn id="16" xr3:uid="{8110930F-17BD-4FC1-B413-19254D704329}" uniqueName="16" name="4s" queryTableFieldId="16"/>
    <tableColumn id="17" xr3:uid="{B9F9C36B-9FFE-420A-AD8F-CD70AE767B4E}" uniqueName="17" name="6s" queryTableFieldId="17"/>
    <tableColumn id="18" xr3:uid="{4629CCA2-66E4-41FF-B0F6-AC52C591CC75}" uniqueName="18" name="Column1" queryTableFieldId="19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img1.hscicdn.com/image/upload/f_auto,t_ds_square_w_160,q_50/lsci/db/PICTURES/CMS/340400/340493.png" TargetMode="External"/><Relationship Id="rId2" Type="http://schemas.openxmlformats.org/officeDocument/2006/relationships/hyperlink" Target="https://img1.hscicdn.com/image/upload/f_auto,t_ds_square_w_160,q_50/lsci/db/PICTURES/CMS/313100/313149.logo.png" TargetMode="External"/><Relationship Id="rId1" Type="http://schemas.openxmlformats.org/officeDocument/2006/relationships/hyperlink" Target="https://img1.hscicdn.com/image/upload/f_auto,t_ds_w_160,q_50/lsci/db/PICTURES/CMS/381800/381891.png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img1.hscicdn.com/image/upload/f_auto,t_ds_square_w_160,q_50/lsci/db/PICTURES/CMS/383900/383973.p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1E61A-BDA5-4AC0-83AF-E763ED805006}">
  <sheetPr codeName="Sheet1"/>
  <dimension ref="A1:P51"/>
  <sheetViews>
    <sheetView workbookViewId="0">
      <selection activeCell="O3" sqref="O3"/>
    </sheetView>
  </sheetViews>
  <sheetFormatPr defaultRowHeight="14.5" x14ac:dyDescent="0.35"/>
  <cols>
    <col min="1" max="1" width="19.453125" bestFit="1" customWidth="1"/>
    <col min="2" max="2" width="10.08984375" bestFit="1" customWidth="1"/>
    <col min="3" max="3" width="9.453125" bestFit="1" customWidth="1"/>
    <col min="4" max="4" width="6.54296875" bestFit="1" customWidth="1"/>
    <col min="5" max="5" width="6.6328125" bestFit="1" customWidth="1"/>
    <col min="6" max="6" width="5.7265625" bestFit="1" customWidth="1"/>
    <col min="7" max="7" width="7.1796875" bestFit="1" customWidth="1"/>
    <col min="8" max="8" width="5.26953125" bestFit="1" customWidth="1"/>
    <col min="9" max="9" width="6.1796875" bestFit="1" customWidth="1"/>
    <col min="10" max="10" width="5.08984375" bestFit="1" customWidth="1"/>
    <col min="11" max="11" width="6.81640625" bestFit="1" customWidth="1"/>
    <col min="12" max="12" width="6.08984375" bestFit="1" customWidth="1"/>
    <col min="13" max="13" width="5.08984375" bestFit="1" customWidth="1"/>
    <col min="14" max="14" width="4.08984375" bestFit="1" customWidth="1"/>
    <col min="15" max="16" width="4.90625" customWidth="1"/>
  </cols>
  <sheetData>
    <row r="1" spans="1:16" x14ac:dyDescent="0.35">
      <c r="A1" t="s">
        <v>86</v>
      </c>
      <c r="B1" t="s">
        <v>87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</row>
    <row r="2" spans="1:16" x14ac:dyDescent="0.35">
      <c r="A2" s="1" t="s">
        <v>530</v>
      </c>
      <c r="B2" s="1" t="s">
        <v>89</v>
      </c>
      <c r="C2" s="1" t="s">
        <v>78</v>
      </c>
      <c r="D2">
        <v>136</v>
      </c>
      <c r="E2">
        <v>129</v>
      </c>
      <c r="F2">
        <v>17</v>
      </c>
      <c r="G2">
        <v>4429</v>
      </c>
      <c r="H2" s="1" t="s">
        <v>19</v>
      </c>
      <c r="I2">
        <v>39.54</v>
      </c>
      <c r="J2">
        <v>3448</v>
      </c>
      <c r="K2">
        <v>128.44999999999999</v>
      </c>
      <c r="L2">
        <v>3</v>
      </c>
      <c r="M2">
        <v>38</v>
      </c>
      <c r="N2">
        <v>10</v>
      </c>
      <c r="O2">
        <v>466</v>
      </c>
      <c r="P2">
        <v>77</v>
      </c>
    </row>
    <row r="3" spans="1:16" x14ac:dyDescent="0.35">
      <c r="A3" s="1" t="s">
        <v>529</v>
      </c>
      <c r="B3" s="1" t="s">
        <v>88</v>
      </c>
      <c r="C3" s="1" t="s">
        <v>15</v>
      </c>
      <c r="D3">
        <v>159</v>
      </c>
      <c r="E3">
        <v>151</v>
      </c>
      <c r="F3">
        <v>19</v>
      </c>
      <c r="G3">
        <v>4231</v>
      </c>
      <c r="H3" s="1" t="s">
        <v>16</v>
      </c>
      <c r="I3">
        <v>32.049999999999997</v>
      </c>
      <c r="J3">
        <v>3003</v>
      </c>
      <c r="K3">
        <v>140.88999999999999</v>
      </c>
      <c r="L3">
        <v>5</v>
      </c>
      <c r="M3">
        <v>32</v>
      </c>
      <c r="N3">
        <v>12</v>
      </c>
      <c r="O3">
        <v>383</v>
      </c>
      <c r="P3">
        <v>205</v>
      </c>
    </row>
    <row r="4" spans="1:16" x14ac:dyDescent="0.35">
      <c r="A4" s="1" t="s">
        <v>531</v>
      </c>
      <c r="B4" s="1" t="s">
        <v>88</v>
      </c>
      <c r="C4" s="1" t="s">
        <v>20</v>
      </c>
      <c r="D4">
        <v>125</v>
      </c>
      <c r="E4">
        <v>117</v>
      </c>
      <c r="F4">
        <v>31</v>
      </c>
      <c r="G4">
        <v>4188</v>
      </c>
      <c r="H4" s="1" t="s">
        <v>21</v>
      </c>
      <c r="I4">
        <v>48.69</v>
      </c>
      <c r="J4">
        <v>3056</v>
      </c>
      <c r="K4">
        <v>137.04</v>
      </c>
      <c r="L4">
        <v>1</v>
      </c>
      <c r="M4">
        <v>38</v>
      </c>
      <c r="N4">
        <v>7</v>
      </c>
      <c r="O4">
        <v>369</v>
      </c>
      <c r="P4">
        <v>124</v>
      </c>
    </row>
    <row r="5" spans="1:16" x14ac:dyDescent="0.35">
      <c r="A5" s="1" t="s">
        <v>532</v>
      </c>
      <c r="B5" s="1" t="s">
        <v>90</v>
      </c>
      <c r="C5" s="1" t="s">
        <v>22</v>
      </c>
      <c r="D5">
        <v>144</v>
      </c>
      <c r="E5">
        <v>132</v>
      </c>
      <c r="F5">
        <v>23</v>
      </c>
      <c r="G5">
        <v>3869</v>
      </c>
      <c r="H5" s="1" t="s">
        <v>23</v>
      </c>
      <c r="I5">
        <v>35.49</v>
      </c>
      <c r="J5">
        <v>2597</v>
      </c>
      <c r="K5">
        <v>148.97</v>
      </c>
      <c r="L5">
        <v>1</v>
      </c>
      <c r="M5">
        <v>28</v>
      </c>
      <c r="N5">
        <v>9</v>
      </c>
      <c r="O5">
        <v>350</v>
      </c>
      <c r="P5">
        <v>172</v>
      </c>
    </row>
    <row r="6" spans="1:16" x14ac:dyDescent="0.35">
      <c r="A6" s="1" t="s">
        <v>533</v>
      </c>
      <c r="B6" s="1" t="s">
        <v>91</v>
      </c>
      <c r="C6" s="1" t="s">
        <v>24</v>
      </c>
      <c r="D6">
        <v>155</v>
      </c>
      <c r="E6">
        <v>152</v>
      </c>
      <c r="F6">
        <v>11</v>
      </c>
      <c r="G6">
        <v>3760</v>
      </c>
      <c r="H6" s="1" t="s">
        <v>25</v>
      </c>
      <c r="I6">
        <v>26.66</v>
      </c>
      <c r="J6">
        <v>2783</v>
      </c>
      <c r="K6">
        <v>135.1</v>
      </c>
      <c r="L6">
        <v>1</v>
      </c>
      <c r="M6">
        <v>24</v>
      </c>
      <c r="N6">
        <v>13</v>
      </c>
      <c r="O6">
        <v>437</v>
      </c>
      <c r="P6">
        <v>135</v>
      </c>
    </row>
    <row r="7" spans="1:16" x14ac:dyDescent="0.35">
      <c r="A7" s="1" t="s">
        <v>534</v>
      </c>
      <c r="B7" s="1" t="s">
        <v>92</v>
      </c>
      <c r="C7" s="1" t="s">
        <v>26</v>
      </c>
      <c r="D7">
        <v>122</v>
      </c>
      <c r="E7">
        <v>118</v>
      </c>
      <c r="F7">
        <v>7</v>
      </c>
      <c r="G7">
        <v>3531</v>
      </c>
      <c r="H7" s="1" t="s">
        <v>27</v>
      </c>
      <c r="I7">
        <v>31.81</v>
      </c>
      <c r="J7">
        <v>2602</v>
      </c>
      <c r="K7">
        <v>135.69999999999999</v>
      </c>
      <c r="L7">
        <v>2</v>
      </c>
      <c r="M7">
        <v>20</v>
      </c>
      <c r="N7">
        <v>3</v>
      </c>
      <c r="O7">
        <v>309</v>
      </c>
      <c r="P7">
        <v>173</v>
      </c>
    </row>
    <row r="8" spans="1:16" x14ac:dyDescent="0.35">
      <c r="A8" s="1" t="s">
        <v>535</v>
      </c>
      <c r="B8" s="1" t="s">
        <v>89</v>
      </c>
      <c r="C8" s="1" t="s">
        <v>28</v>
      </c>
      <c r="D8">
        <v>106</v>
      </c>
      <c r="E8">
        <v>93</v>
      </c>
      <c r="F8">
        <v>21</v>
      </c>
      <c r="G8">
        <v>3414</v>
      </c>
      <c r="H8" s="1" t="s">
        <v>29</v>
      </c>
      <c r="I8">
        <v>47.41</v>
      </c>
      <c r="J8">
        <v>2723</v>
      </c>
      <c r="K8">
        <v>125.37</v>
      </c>
      <c r="L8">
        <v>1</v>
      </c>
      <c r="M8">
        <v>30</v>
      </c>
      <c r="N8">
        <v>5</v>
      </c>
      <c r="O8">
        <v>285</v>
      </c>
      <c r="P8">
        <v>95</v>
      </c>
    </row>
    <row r="9" spans="1:16" x14ac:dyDescent="0.35">
      <c r="A9" s="1" t="s">
        <v>536</v>
      </c>
      <c r="B9" s="1" t="s">
        <v>93</v>
      </c>
      <c r="C9" s="1" t="s">
        <v>30</v>
      </c>
      <c r="D9">
        <v>110</v>
      </c>
      <c r="E9">
        <v>110</v>
      </c>
      <c r="F9">
        <v>12</v>
      </c>
      <c r="G9">
        <v>3277</v>
      </c>
      <c r="H9" s="1" t="s">
        <v>31</v>
      </c>
      <c r="I9">
        <v>33.43</v>
      </c>
      <c r="J9">
        <v>2300</v>
      </c>
      <c r="K9">
        <v>142.47</v>
      </c>
      <c r="L9">
        <v>1</v>
      </c>
      <c r="M9">
        <v>28</v>
      </c>
      <c r="N9">
        <v>6</v>
      </c>
      <c r="O9">
        <v>337</v>
      </c>
      <c r="P9">
        <v>122</v>
      </c>
    </row>
    <row r="10" spans="1:16" x14ac:dyDescent="0.35">
      <c r="A10" s="1" t="s">
        <v>537</v>
      </c>
      <c r="B10" s="1" t="s">
        <v>95</v>
      </c>
      <c r="C10" s="1" t="s">
        <v>38</v>
      </c>
      <c r="D10">
        <v>91</v>
      </c>
      <c r="E10">
        <v>91</v>
      </c>
      <c r="F10">
        <v>5</v>
      </c>
      <c r="G10">
        <v>3184</v>
      </c>
      <c r="H10" s="1" t="s">
        <v>39</v>
      </c>
      <c r="I10">
        <v>37.020000000000003</v>
      </c>
      <c r="J10">
        <v>2098</v>
      </c>
      <c r="K10">
        <v>151.76</v>
      </c>
      <c r="L10">
        <v>3</v>
      </c>
      <c r="M10">
        <v>25</v>
      </c>
      <c r="N10">
        <v>6</v>
      </c>
      <c r="O10">
        <v>265</v>
      </c>
      <c r="P10">
        <v>187</v>
      </c>
    </row>
    <row r="11" spans="1:16" x14ac:dyDescent="0.35">
      <c r="A11" s="1" t="s">
        <v>538</v>
      </c>
      <c r="B11" s="1" t="s">
        <v>93</v>
      </c>
      <c r="C11" s="1" t="s">
        <v>32</v>
      </c>
      <c r="D11">
        <v>103</v>
      </c>
      <c r="E11">
        <v>103</v>
      </c>
      <c r="F11">
        <v>12</v>
      </c>
      <c r="G11">
        <v>3120</v>
      </c>
      <c r="H11" s="1" t="s">
        <v>33</v>
      </c>
      <c r="I11">
        <v>34.28</v>
      </c>
      <c r="J11">
        <v>2189</v>
      </c>
      <c r="K11">
        <v>142.53</v>
      </c>
      <c r="L11">
        <v>2</v>
      </c>
      <c r="M11">
        <v>19</v>
      </c>
      <c r="N11">
        <v>8</v>
      </c>
      <c r="O11">
        <v>309</v>
      </c>
      <c r="P11">
        <v>125</v>
      </c>
    </row>
    <row r="12" spans="1:16" x14ac:dyDescent="0.35">
      <c r="A12" s="1" t="s">
        <v>539</v>
      </c>
      <c r="B12" s="1" t="s">
        <v>94</v>
      </c>
      <c r="C12" s="1" t="s">
        <v>34</v>
      </c>
      <c r="D12">
        <v>107</v>
      </c>
      <c r="E12">
        <v>102</v>
      </c>
      <c r="F12">
        <v>19</v>
      </c>
      <c r="G12">
        <v>3115</v>
      </c>
      <c r="H12" s="1" t="s">
        <v>35</v>
      </c>
      <c r="I12">
        <v>37.53</v>
      </c>
      <c r="J12">
        <v>2456</v>
      </c>
      <c r="K12">
        <v>126.83</v>
      </c>
      <c r="L12">
        <v>1</v>
      </c>
      <c r="M12">
        <v>22</v>
      </c>
      <c r="N12">
        <v>5</v>
      </c>
      <c r="O12">
        <v>265</v>
      </c>
      <c r="P12">
        <v>128</v>
      </c>
    </row>
    <row r="13" spans="1:16" x14ac:dyDescent="0.35">
      <c r="A13" s="1" t="s">
        <v>543</v>
      </c>
      <c r="B13" s="1" t="s">
        <v>100</v>
      </c>
      <c r="C13" s="1" t="s">
        <v>52</v>
      </c>
      <c r="D13">
        <v>127</v>
      </c>
      <c r="E13">
        <v>122</v>
      </c>
      <c r="F13">
        <v>10</v>
      </c>
      <c r="G13">
        <v>2883</v>
      </c>
      <c r="H13" s="1" t="s">
        <v>53</v>
      </c>
      <c r="I13">
        <v>25.74</v>
      </c>
      <c r="J13">
        <v>2131</v>
      </c>
      <c r="K13">
        <v>135.28</v>
      </c>
      <c r="L13">
        <v>1</v>
      </c>
      <c r="M13">
        <v>16</v>
      </c>
      <c r="N13">
        <v>9</v>
      </c>
      <c r="O13">
        <v>222</v>
      </c>
      <c r="P13">
        <v>133</v>
      </c>
    </row>
    <row r="14" spans="1:16" x14ac:dyDescent="0.35">
      <c r="A14" s="1" t="s">
        <v>540</v>
      </c>
      <c r="B14" s="1" t="s">
        <v>93</v>
      </c>
      <c r="C14" s="1" t="s">
        <v>394</v>
      </c>
      <c r="D14">
        <v>126</v>
      </c>
      <c r="E14">
        <v>115</v>
      </c>
      <c r="F14">
        <v>18</v>
      </c>
      <c r="G14">
        <v>2835</v>
      </c>
      <c r="H14" s="1" t="s">
        <v>37</v>
      </c>
      <c r="I14">
        <v>29.22</v>
      </c>
      <c r="J14">
        <v>1820</v>
      </c>
      <c r="K14">
        <v>155.76</v>
      </c>
      <c r="L14">
        <v>5</v>
      </c>
      <c r="M14">
        <v>12</v>
      </c>
      <c r="N14">
        <v>5</v>
      </c>
      <c r="O14">
        <v>240</v>
      </c>
      <c r="P14">
        <v>148</v>
      </c>
    </row>
    <row r="15" spans="1:16" x14ac:dyDescent="0.35">
      <c r="A15" s="1" t="s">
        <v>541</v>
      </c>
      <c r="B15" s="1" t="s">
        <v>94</v>
      </c>
      <c r="C15" s="1" t="s">
        <v>34</v>
      </c>
      <c r="D15">
        <v>113</v>
      </c>
      <c r="E15">
        <v>109</v>
      </c>
      <c r="F15">
        <v>18</v>
      </c>
      <c r="G15">
        <v>2758</v>
      </c>
      <c r="H15" s="1" t="s">
        <v>46</v>
      </c>
      <c r="I15">
        <v>30.3</v>
      </c>
      <c r="J15">
        <v>1940</v>
      </c>
      <c r="K15">
        <v>142.16</v>
      </c>
      <c r="L15">
        <v>1</v>
      </c>
      <c r="M15">
        <v>19</v>
      </c>
      <c r="N15">
        <v>8</v>
      </c>
      <c r="O15">
        <v>247</v>
      </c>
      <c r="P15">
        <v>142</v>
      </c>
    </row>
    <row r="16" spans="1:16" x14ac:dyDescent="0.35">
      <c r="A16" s="1" t="s">
        <v>542</v>
      </c>
      <c r="B16" s="1" t="s">
        <v>88</v>
      </c>
      <c r="C16" s="1" t="s">
        <v>38</v>
      </c>
      <c r="D16">
        <v>95</v>
      </c>
      <c r="E16">
        <v>89</v>
      </c>
      <c r="F16">
        <v>14</v>
      </c>
      <c r="G16">
        <v>2754</v>
      </c>
      <c r="H16" s="1" t="s">
        <v>40</v>
      </c>
      <c r="I16">
        <v>36.72</v>
      </c>
      <c r="J16">
        <v>1675</v>
      </c>
      <c r="K16">
        <v>164.41</v>
      </c>
      <c r="L16">
        <v>4</v>
      </c>
      <c r="M16">
        <v>21</v>
      </c>
      <c r="N16">
        <v>6</v>
      </c>
      <c r="O16">
        <v>247</v>
      </c>
      <c r="P16">
        <v>154</v>
      </c>
    </row>
    <row r="17" spans="1:16" x14ac:dyDescent="0.35">
      <c r="A17" s="1" t="s">
        <v>547</v>
      </c>
      <c r="B17" s="1" t="s">
        <v>98</v>
      </c>
      <c r="C17" s="1" t="s">
        <v>61</v>
      </c>
      <c r="D17">
        <v>119</v>
      </c>
      <c r="E17">
        <v>117</v>
      </c>
      <c r="F17">
        <v>5</v>
      </c>
      <c r="G17">
        <v>2648</v>
      </c>
      <c r="H17" s="1" t="s">
        <v>54</v>
      </c>
      <c r="I17">
        <v>23.64</v>
      </c>
      <c r="J17">
        <v>2093</v>
      </c>
      <c r="K17">
        <v>126.51</v>
      </c>
      <c r="L17">
        <v>0</v>
      </c>
      <c r="M17">
        <v>16</v>
      </c>
      <c r="N17">
        <v>6</v>
      </c>
      <c r="O17">
        <v>257</v>
      </c>
      <c r="P17">
        <v>81</v>
      </c>
    </row>
    <row r="18" spans="1:16" x14ac:dyDescent="0.35">
      <c r="A18" s="1" t="s">
        <v>545</v>
      </c>
      <c r="B18" s="1" t="s">
        <v>97</v>
      </c>
      <c r="C18" s="1" t="s">
        <v>394</v>
      </c>
      <c r="D18">
        <v>96</v>
      </c>
      <c r="E18">
        <v>95</v>
      </c>
      <c r="F18">
        <v>9</v>
      </c>
      <c r="G18">
        <v>2615</v>
      </c>
      <c r="H18" s="1" t="s">
        <v>9</v>
      </c>
      <c r="I18">
        <v>30.4</v>
      </c>
      <c r="J18">
        <v>1893</v>
      </c>
      <c r="K18">
        <v>138.13999999999999</v>
      </c>
      <c r="L18">
        <v>1</v>
      </c>
      <c r="M18">
        <v>16</v>
      </c>
      <c r="N18">
        <v>8</v>
      </c>
      <c r="O18">
        <v>270</v>
      </c>
      <c r="P18">
        <v>103</v>
      </c>
    </row>
    <row r="19" spans="1:16" x14ac:dyDescent="0.35">
      <c r="A19" s="1" t="s">
        <v>544</v>
      </c>
      <c r="B19" s="1" t="s">
        <v>96</v>
      </c>
      <c r="C19" s="1" t="s">
        <v>20</v>
      </c>
      <c r="D19">
        <v>130</v>
      </c>
      <c r="E19">
        <v>114</v>
      </c>
      <c r="F19">
        <v>36</v>
      </c>
      <c r="G19">
        <v>2591</v>
      </c>
      <c r="H19" s="1" t="s">
        <v>41</v>
      </c>
      <c r="I19">
        <v>33.21</v>
      </c>
      <c r="J19">
        <v>1842</v>
      </c>
      <c r="K19">
        <v>140.66</v>
      </c>
      <c r="L19">
        <v>2</v>
      </c>
      <c r="M19">
        <v>8</v>
      </c>
      <c r="N19">
        <v>3</v>
      </c>
      <c r="O19">
        <v>168</v>
      </c>
      <c r="P19">
        <v>130</v>
      </c>
    </row>
    <row r="20" spans="1:16" x14ac:dyDescent="0.35">
      <c r="A20" s="1" t="s">
        <v>546</v>
      </c>
      <c r="B20" s="1" t="s">
        <v>92</v>
      </c>
      <c r="C20" s="1" t="s">
        <v>42</v>
      </c>
      <c r="D20">
        <v>93</v>
      </c>
      <c r="E20">
        <v>90</v>
      </c>
      <c r="F20">
        <v>13</v>
      </c>
      <c r="G20">
        <v>2575</v>
      </c>
      <c r="H20" s="1" t="s">
        <v>43</v>
      </c>
      <c r="I20">
        <v>33.44</v>
      </c>
      <c r="J20">
        <v>2092</v>
      </c>
      <c r="K20">
        <v>123.08</v>
      </c>
      <c r="L20">
        <v>0</v>
      </c>
      <c r="M20">
        <v>18</v>
      </c>
      <c r="N20">
        <v>4</v>
      </c>
      <c r="O20">
        <v>245</v>
      </c>
      <c r="P20">
        <v>58</v>
      </c>
    </row>
    <row r="21" spans="1:16" x14ac:dyDescent="0.35">
      <c r="A21" s="1" t="s">
        <v>548</v>
      </c>
      <c r="B21" s="1" t="s">
        <v>98</v>
      </c>
      <c r="C21" s="1" t="s">
        <v>44</v>
      </c>
      <c r="D21">
        <v>129</v>
      </c>
      <c r="E21">
        <v>127</v>
      </c>
      <c r="F21">
        <v>17</v>
      </c>
      <c r="G21">
        <v>2551</v>
      </c>
      <c r="H21" s="1" t="s">
        <v>45</v>
      </c>
      <c r="I21">
        <v>23.19</v>
      </c>
      <c r="J21">
        <v>2105</v>
      </c>
      <c r="K21">
        <v>121.18</v>
      </c>
      <c r="L21">
        <v>0</v>
      </c>
      <c r="M21">
        <v>13</v>
      </c>
      <c r="N21">
        <v>9</v>
      </c>
      <c r="O21">
        <v>258</v>
      </c>
      <c r="P21">
        <v>53</v>
      </c>
    </row>
    <row r="22" spans="1:16" x14ac:dyDescent="0.35">
      <c r="A22" s="1" t="s">
        <v>549</v>
      </c>
      <c r="B22" s="1" t="s">
        <v>89</v>
      </c>
      <c r="C22" s="1" t="s">
        <v>47</v>
      </c>
      <c r="D22">
        <v>119</v>
      </c>
      <c r="E22">
        <v>108</v>
      </c>
      <c r="F22">
        <v>13</v>
      </c>
      <c r="G22">
        <v>2514</v>
      </c>
      <c r="H22" s="1" t="s">
        <v>48</v>
      </c>
      <c r="I22">
        <v>26.46</v>
      </c>
      <c r="J22">
        <v>2060</v>
      </c>
      <c r="K22">
        <v>122.03</v>
      </c>
      <c r="L22">
        <v>0</v>
      </c>
      <c r="M22">
        <v>14</v>
      </c>
      <c r="N22">
        <v>7</v>
      </c>
      <c r="O22">
        <v>251</v>
      </c>
      <c r="P22">
        <v>76</v>
      </c>
    </row>
    <row r="23" spans="1:16" x14ac:dyDescent="0.35">
      <c r="A23" s="1" t="s">
        <v>555</v>
      </c>
      <c r="B23" s="1" t="s">
        <v>97</v>
      </c>
      <c r="C23" s="1" t="s">
        <v>64</v>
      </c>
      <c r="D23">
        <v>87</v>
      </c>
      <c r="E23">
        <v>86</v>
      </c>
      <c r="F23">
        <v>2</v>
      </c>
      <c r="G23">
        <v>2483</v>
      </c>
      <c r="H23" s="1" t="s">
        <v>40</v>
      </c>
      <c r="I23">
        <v>29.55</v>
      </c>
      <c r="J23">
        <v>1913</v>
      </c>
      <c r="K23">
        <v>129.79</v>
      </c>
      <c r="L23">
        <v>1</v>
      </c>
      <c r="M23">
        <v>18</v>
      </c>
      <c r="N23">
        <v>6</v>
      </c>
      <c r="O23">
        <v>267</v>
      </c>
      <c r="P23">
        <v>69</v>
      </c>
    </row>
    <row r="24" spans="1:16" x14ac:dyDescent="0.35">
      <c r="A24" s="1" t="s">
        <v>550</v>
      </c>
      <c r="B24" s="1" t="s">
        <v>90</v>
      </c>
      <c r="C24" s="1" t="s">
        <v>26</v>
      </c>
      <c r="D24">
        <v>115</v>
      </c>
      <c r="E24">
        <v>107</v>
      </c>
      <c r="F24">
        <v>21</v>
      </c>
      <c r="G24">
        <v>2458</v>
      </c>
      <c r="H24" s="1" t="s">
        <v>49</v>
      </c>
      <c r="I24">
        <v>28.58</v>
      </c>
      <c r="J24">
        <v>1805</v>
      </c>
      <c r="K24">
        <v>136.16999999999999</v>
      </c>
      <c r="L24">
        <v>0</v>
      </c>
      <c r="M24">
        <v>14</v>
      </c>
      <c r="N24">
        <v>3</v>
      </c>
      <c r="O24">
        <v>186</v>
      </c>
      <c r="P24">
        <v>120</v>
      </c>
    </row>
    <row r="25" spans="1:16" x14ac:dyDescent="0.35">
      <c r="A25" s="1" t="s">
        <v>551</v>
      </c>
      <c r="B25" s="1" t="s">
        <v>98</v>
      </c>
      <c r="C25" s="1" t="s">
        <v>15</v>
      </c>
      <c r="D25">
        <v>141</v>
      </c>
      <c r="E25">
        <v>130</v>
      </c>
      <c r="F25">
        <v>26</v>
      </c>
      <c r="G25">
        <v>2444</v>
      </c>
      <c r="H25" s="1" t="s">
        <v>50</v>
      </c>
      <c r="I25">
        <v>23.5</v>
      </c>
      <c r="J25">
        <v>2082</v>
      </c>
      <c r="K25">
        <v>117.38</v>
      </c>
      <c r="L25">
        <v>0</v>
      </c>
      <c r="M25">
        <v>8</v>
      </c>
      <c r="N25">
        <v>5</v>
      </c>
      <c r="O25">
        <v>184</v>
      </c>
      <c r="P25">
        <v>77</v>
      </c>
    </row>
    <row r="26" spans="1:16" x14ac:dyDescent="0.35">
      <c r="A26" s="1" t="s">
        <v>552</v>
      </c>
      <c r="B26" s="1" t="s">
        <v>99</v>
      </c>
      <c r="C26" s="1" t="s">
        <v>47</v>
      </c>
      <c r="D26">
        <v>124</v>
      </c>
      <c r="E26">
        <v>111</v>
      </c>
      <c r="F26">
        <v>33</v>
      </c>
      <c r="G26">
        <v>2435</v>
      </c>
      <c r="H26" s="1" t="s">
        <v>51</v>
      </c>
      <c r="I26">
        <v>31.21</v>
      </c>
      <c r="J26">
        <v>1938</v>
      </c>
      <c r="K26">
        <v>125.64</v>
      </c>
      <c r="L26">
        <v>0</v>
      </c>
      <c r="M26">
        <v>9</v>
      </c>
      <c r="N26">
        <v>2</v>
      </c>
      <c r="O26">
        <v>196</v>
      </c>
      <c r="P26">
        <v>69</v>
      </c>
    </row>
    <row r="27" spans="1:16" x14ac:dyDescent="0.35">
      <c r="A27" s="1" t="s">
        <v>553</v>
      </c>
      <c r="B27" s="1" t="s">
        <v>103</v>
      </c>
      <c r="C27" s="1" t="s">
        <v>292</v>
      </c>
      <c r="D27">
        <v>145</v>
      </c>
      <c r="E27">
        <v>135</v>
      </c>
      <c r="F27">
        <v>27</v>
      </c>
      <c r="G27">
        <v>2417</v>
      </c>
      <c r="H27" s="1" t="s">
        <v>60</v>
      </c>
      <c r="I27">
        <v>22.37</v>
      </c>
      <c r="J27">
        <v>1770</v>
      </c>
      <c r="K27">
        <v>136.55000000000001</v>
      </c>
      <c r="L27">
        <v>0</v>
      </c>
      <c r="M27">
        <v>7</v>
      </c>
      <c r="N27">
        <v>9</v>
      </c>
      <c r="O27">
        <v>166</v>
      </c>
      <c r="P27">
        <v>122</v>
      </c>
    </row>
    <row r="28" spans="1:16" x14ac:dyDescent="0.35">
      <c r="A28" s="1" t="s">
        <v>554</v>
      </c>
      <c r="B28" s="1" t="s">
        <v>91</v>
      </c>
      <c r="C28" s="1" t="s">
        <v>28</v>
      </c>
      <c r="D28">
        <v>110</v>
      </c>
      <c r="E28">
        <v>106</v>
      </c>
      <c r="F28">
        <v>4</v>
      </c>
      <c r="G28">
        <v>2392</v>
      </c>
      <c r="H28" s="1" t="s">
        <v>54</v>
      </c>
      <c r="I28">
        <v>23.45</v>
      </c>
      <c r="J28">
        <v>1941</v>
      </c>
      <c r="K28">
        <v>123.23</v>
      </c>
      <c r="L28">
        <v>0</v>
      </c>
      <c r="M28">
        <v>12</v>
      </c>
      <c r="N28">
        <v>6</v>
      </c>
      <c r="O28">
        <v>254</v>
      </c>
      <c r="P28">
        <v>68</v>
      </c>
    </row>
    <row r="29" spans="1:16" x14ac:dyDescent="0.35">
      <c r="A29" s="1" t="s">
        <v>556</v>
      </c>
      <c r="B29" s="1" t="s">
        <v>105</v>
      </c>
      <c r="C29" s="1" t="s">
        <v>64</v>
      </c>
      <c r="D29">
        <v>120</v>
      </c>
      <c r="E29">
        <v>117</v>
      </c>
      <c r="F29">
        <v>9</v>
      </c>
      <c r="G29">
        <v>2386</v>
      </c>
      <c r="H29" s="1" t="s">
        <v>65</v>
      </c>
      <c r="I29">
        <v>22.09</v>
      </c>
      <c r="J29">
        <v>1982</v>
      </c>
      <c r="K29">
        <v>120.38</v>
      </c>
      <c r="L29">
        <v>0</v>
      </c>
      <c r="M29">
        <v>12</v>
      </c>
      <c r="N29">
        <v>9</v>
      </c>
      <c r="O29">
        <v>192</v>
      </c>
      <c r="P29">
        <v>80</v>
      </c>
    </row>
    <row r="30" spans="1:16" x14ac:dyDescent="0.35">
      <c r="A30" s="1" t="s">
        <v>560</v>
      </c>
      <c r="B30" s="1" t="s">
        <v>89</v>
      </c>
      <c r="C30" s="1" t="s">
        <v>76</v>
      </c>
      <c r="D30">
        <v>114</v>
      </c>
      <c r="E30">
        <v>105</v>
      </c>
      <c r="F30">
        <v>6</v>
      </c>
      <c r="G30">
        <v>2360</v>
      </c>
      <c r="H30" s="1" t="s">
        <v>49</v>
      </c>
      <c r="I30">
        <v>23.83</v>
      </c>
      <c r="J30">
        <v>1791</v>
      </c>
      <c r="K30">
        <v>131.76</v>
      </c>
      <c r="L30">
        <v>0</v>
      </c>
      <c r="M30">
        <v>13</v>
      </c>
      <c r="N30">
        <v>6</v>
      </c>
      <c r="O30">
        <v>219</v>
      </c>
      <c r="P30">
        <v>93</v>
      </c>
    </row>
    <row r="31" spans="1:16" x14ac:dyDescent="0.35">
      <c r="A31" s="1" t="s">
        <v>565</v>
      </c>
      <c r="B31" s="1" t="s">
        <v>108</v>
      </c>
      <c r="C31" s="1" t="s">
        <v>38</v>
      </c>
      <c r="D31">
        <v>79</v>
      </c>
      <c r="E31">
        <v>78</v>
      </c>
      <c r="F31">
        <v>4</v>
      </c>
      <c r="G31">
        <v>2345</v>
      </c>
      <c r="H31" s="1" t="s">
        <v>85</v>
      </c>
      <c r="I31">
        <v>31.68</v>
      </c>
      <c r="J31">
        <v>1847</v>
      </c>
      <c r="K31">
        <v>126.96</v>
      </c>
      <c r="L31">
        <v>1</v>
      </c>
      <c r="M31">
        <v>18</v>
      </c>
      <c r="N31">
        <v>6</v>
      </c>
      <c r="O31">
        <v>239</v>
      </c>
      <c r="P31">
        <v>64</v>
      </c>
    </row>
    <row r="32" spans="1:16" x14ac:dyDescent="0.35">
      <c r="A32" s="1" t="s">
        <v>557</v>
      </c>
      <c r="B32" s="1" t="s">
        <v>102</v>
      </c>
      <c r="C32" s="1" t="s">
        <v>59</v>
      </c>
      <c r="D32">
        <v>102</v>
      </c>
      <c r="E32">
        <v>93</v>
      </c>
      <c r="F32">
        <v>18</v>
      </c>
      <c r="G32">
        <v>2335</v>
      </c>
      <c r="H32" s="1" t="s">
        <v>9</v>
      </c>
      <c r="I32">
        <v>31.13</v>
      </c>
      <c r="J32">
        <v>1787</v>
      </c>
      <c r="K32">
        <v>130.66</v>
      </c>
      <c r="L32">
        <v>1</v>
      </c>
      <c r="M32">
        <v>10</v>
      </c>
      <c r="N32">
        <v>10</v>
      </c>
      <c r="O32">
        <v>192</v>
      </c>
      <c r="P32">
        <v>83</v>
      </c>
    </row>
    <row r="33" spans="1:16" x14ac:dyDescent="0.35">
      <c r="A33" s="1" t="s">
        <v>561</v>
      </c>
      <c r="B33" s="1" t="s">
        <v>108</v>
      </c>
      <c r="C33" s="1" t="s">
        <v>52</v>
      </c>
      <c r="D33">
        <v>93</v>
      </c>
      <c r="E33">
        <v>91</v>
      </c>
      <c r="F33">
        <v>4</v>
      </c>
      <c r="G33">
        <v>2312</v>
      </c>
      <c r="H33" s="1" t="s">
        <v>69</v>
      </c>
      <c r="I33">
        <v>26.57</v>
      </c>
      <c r="J33">
        <v>1740</v>
      </c>
      <c r="K33">
        <v>132.87</v>
      </c>
      <c r="L33">
        <v>1</v>
      </c>
      <c r="M33">
        <v>16</v>
      </c>
      <c r="N33">
        <v>6</v>
      </c>
      <c r="O33">
        <v>223</v>
      </c>
      <c r="P33">
        <v>72</v>
      </c>
    </row>
    <row r="34" spans="1:16" x14ac:dyDescent="0.35">
      <c r="A34" s="1" t="s">
        <v>558</v>
      </c>
      <c r="B34" s="1" t="s">
        <v>106</v>
      </c>
      <c r="C34" s="1" t="s">
        <v>61</v>
      </c>
      <c r="D34">
        <v>87</v>
      </c>
      <c r="E34">
        <v>84</v>
      </c>
      <c r="F34">
        <v>7</v>
      </c>
      <c r="G34">
        <v>2309</v>
      </c>
      <c r="H34" s="1" t="s">
        <v>53</v>
      </c>
      <c r="I34">
        <v>29.98</v>
      </c>
      <c r="J34">
        <v>1888</v>
      </c>
      <c r="K34">
        <v>122.29</v>
      </c>
      <c r="L34">
        <v>1</v>
      </c>
      <c r="M34">
        <v>16</v>
      </c>
      <c r="N34">
        <v>2</v>
      </c>
      <c r="O34">
        <v>239</v>
      </c>
      <c r="P34">
        <v>54</v>
      </c>
    </row>
    <row r="35" spans="1:16" x14ac:dyDescent="0.35">
      <c r="A35" s="1" t="s">
        <v>559</v>
      </c>
      <c r="B35" s="1" t="s">
        <v>102</v>
      </c>
      <c r="C35" s="1" t="s">
        <v>61</v>
      </c>
      <c r="D35">
        <v>81</v>
      </c>
      <c r="E35">
        <v>79</v>
      </c>
      <c r="F35">
        <v>5</v>
      </c>
      <c r="G35">
        <v>2302</v>
      </c>
      <c r="H35" s="1" t="s">
        <v>62</v>
      </c>
      <c r="I35">
        <v>31.1</v>
      </c>
      <c r="J35">
        <v>1596</v>
      </c>
      <c r="K35">
        <v>144.22999999999999</v>
      </c>
      <c r="L35">
        <v>2</v>
      </c>
      <c r="M35">
        <v>13</v>
      </c>
      <c r="N35">
        <v>6</v>
      </c>
      <c r="O35">
        <v>247</v>
      </c>
      <c r="P35">
        <v>105</v>
      </c>
    </row>
    <row r="36" spans="1:16" x14ac:dyDescent="0.35">
      <c r="A36" s="1" t="s">
        <v>567</v>
      </c>
      <c r="B36" s="1" t="s">
        <v>108</v>
      </c>
      <c r="C36" s="1" t="s">
        <v>78</v>
      </c>
      <c r="D36">
        <v>95</v>
      </c>
      <c r="E36">
        <v>95</v>
      </c>
      <c r="F36">
        <v>5</v>
      </c>
      <c r="G36">
        <v>2286</v>
      </c>
      <c r="H36" s="1" t="s">
        <v>79</v>
      </c>
      <c r="I36">
        <v>25.4</v>
      </c>
      <c r="J36">
        <v>1756</v>
      </c>
      <c r="K36">
        <v>130.18</v>
      </c>
      <c r="L36">
        <v>0</v>
      </c>
      <c r="M36">
        <v>17</v>
      </c>
      <c r="N36">
        <v>8</v>
      </c>
      <c r="O36">
        <v>200</v>
      </c>
      <c r="P36">
        <v>91</v>
      </c>
    </row>
    <row r="37" spans="1:16" x14ac:dyDescent="0.35">
      <c r="A37" s="1" t="s">
        <v>563</v>
      </c>
      <c r="B37" s="1" t="s">
        <v>105</v>
      </c>
      <c r="C37" s="1" t="s">
        <v>64</v>
      </c>
      <c r="D37">
        <v>100</v>
      </c>
      <c r="E37">
        <v>96</v>
      </c>
      <c r="F37">
        <v>13</v>
      </c>
      <c r="G37">
        <v>2280</v>
      </c>
      <c r="H37" s="1" t="s">
        <v>19</v>
      </c>
      <c r="I37">
        <v>27.46</v>
      </c>
      <c r="J37">
        <v>1768</v>
      </c>
      <c r="K37">
        <v>128.94999999999999</v>
      </c>
      <c r="L37">
        <v>2</v>
      </c>
      <c r="M37">
        <v>12</v>
      </c>
      <c r="N37">
        <v>8</v>
      </c>
      <c r="O37">
        <v>136</v>
      </c>
      <c r="P37">
        <v>140</v>
      </c>
    </row>
    <row r="38" spans="1:16" x14ac:dyDescent="0.35">
      <c r="A38" s="1" t="s">
        <v>562</v>
      </c>
      <c r="B38" s="1" t="s">
        <v>101</v>
      </c>
      <c r="C38" s="1" t="s">
        <v>18</v>
      </c>
      <c r="D38">
        <v>106</v>
      </c>
      <c r="E38">
        <v>97</v>
      </c>
      <c r="F38">
        <v>10</v>
      </c>
      <c r="G38">
        <v>2275</v>
      </c>
      <c r="H38" s="1" t="s">
        <v>55</v>
      </c>
      <c r="I38">
        <v>26.14</v>
      </c>
      <c r="J38">
        <v>1668</v>
      </c>
      <c r="K38">
        <v>136.38999999999999</v>
      </c>
      <c r="L38">
        <v>0</v>
      </c>
      <c r="M38">
        <v>13</v>
      </c>
      <c r="N38">
        <v>3</v>
      </c>
      <c r="O38">
        <v>152</v>
      </c>
      <c r="P38">
        <v>149</v>
      </c>
    </row>
    <row r="39" spans="1:16" x14ac:dyDescent="0.35">
      <c r="A39" s="1" t="s">
        <v>564</v>
      </c>
      <c r="B39" s="1" t="s">
        <v>88</v>
      </c>
      <c r="C39" s="1" t="s">
        <v>57</v>
      </c>
      <c r="D39">
        <v>72</v>
      </c>
      <c r="E39">
        <v>68</v>
      </c>
      <c r="F39">
        <v>8</v>
      </c>
      <c r="G39">
        <v>2265</v>
      </c>
      <c r="H39" s="1" t="s">
        <v>58</v>
      </c>
      <c r="I39">
        <v>37.75</v>
      </c>
      <c r="J39">
        <v>1628</v>
      </c>
      <c r="K39">
        <v>139.12</v>
      </c>
      <c r="L39">
        <v>2</v>
      </c>
      <c r="M39">
        <v>22</v>
      </c>
      <c r="N39">
        <v>5</v>
      </c>
      <c r="O39">
        <v>191</v>
      </c>
      <c r="P39">
        <v>99</v>
      </c>
    </row>
    <row r="40" spans="1:16" x14ac:dyDescent="0.35">
      <c r="A40" s="1" t="s">
        <v>566</v>
      </c>
      <c r="B40" s="1" t="s">
        <v>104</v>
      </c>
      <c r="C40" s="1" t="s">
        <v>63</v>
      </c>
      <c r="D40">
        <v>88</v>
      </c>
      <c r="E40">
        <v>86</v>
      </c>
      <c r="F40">
        <v>10</v>
      </c>
      <c r="G40">
        <v>2204</v>
      </c>
      <c r="H40" s="1" t="s">
        <v>31</v>
      </c>
      <c r="I40">
        <v>29</v>
      </c>
      <c r="J40">
        <v>1789</v>
      </c>
      <c r="K40">
        <v>123.19</v>
      </c>
      <c r="L40">
        <v>1</v>
      </c>
      <c r="M40">
        <v>17</v>
      </c>
      <c r="N40">
        <v>8</v>
      </c>
      <c r="O40">
        <v>237</v>
      </c>
      <c r="P40">
        <v>73</v>
      </c>
    </row>
    <row r="41" spans="1:16" x14ac:dyDescent="0.35">
      <c r="A41" s="1" t="s">
        <v>568</v>
      </c>
      <c r="B41" s="1" t="s">
        <v>92</v>
      </c>
      <c r="C41" s="1" t="s">
        <v>66</v>
      </c>
      <c r="D41">
        <v>71</v>
      </c>
      <c r="E41">
        <v>70</v>
      </c>
      <c r="F41">
        <v>10</v>
      </c>
      <c r="G41">
        <v>2140</v>
      </c>
      <c r="H41" s="1" t="s">
        <v>67</v>
      </c>
      <c r="I41">
        <v>35.659999999999997</v>
      </c>
      <c r="J41">
        <v>1571</v>
      </c>
      <c r="K41">
        <v>136.21</v>
      </c>
      <c r="L41">
        <v>2</v>
      </c>
      <c r="M41">
        <v>13</v>
      </c>
      <c r="N41">
        <v>3</v>
      </c>
      <c r="O41">
        <v>199</v>
      </c>
      <c r="P41">
        <v>91</v>
      </c>
    </row>
    <row r="42" spans="1:16" x14ac:dyDescent="0.35">
      <c r="A42" s="1" t="s">
        <v>572</v>
      </c>
      <c r="B42" s="1" t="s">
        <v>93</v>
      </c>
      <c r="C42" s="1" t="s">
        <v>22</v>
      </c>
      <c r="D42">
        <v>81</v>
      </c>
      <c r="E42">
        <v>76</v>
      </c>
      <c r="F42">
        <v>13</v>
      </c>
      <c r="G42">
        <v>2083</v>
      </c>
      <c r="H42" s="1" t="s">
        <v>83</v>
      </c>
      <c r="I42">
        <v>33.06</v>
      </c>
      <c r="J42">
        <v>1490</v>
      </c>
      <c r="K42">
        <v>139.79</v>
      </c>
      <c r="L42">
        <v>1</v>
      </c>
      <c r="M42">
        <v>11</v>
      </c>
      <c r="N42">
        <v>3</v>
      </c>
      <c r="O42">
        <v>178</v>
      </c>
      <c r="P42">
        <v>105</v>
      </c>
    </row>
    <row r="43" spans="1:16" x14ac:dyDescent="0.35">
      <c r="A43" s="1" t="s">
        <v>569</v>
      </c>
      <c r="B43" s="1" t="s">
        <v>90</v>
      </c>
      <c r="C43" s="1" t="s">
        <v>32</v>
      </c>
      <c r="D43">
        <v>75</v>
      </c>
      <c r="E43">
        <v>75</v>
      </c>
      <c r="F43">
        <v>8</v>
      </c>
      <c r="G43">
        <v>2074</v>
      </c>
      <c r="H43" s="1" t="s">
        <v>35</v>
      </c>
      <c r="I43">
        <v>30.95</v>
      </c>
      <c r="J43">
        <v>1499</v>
      </c>
      <c r="K43">
        <v>138.35</v>
      </c>
      <c r="L43">
        <v>1</v>
      </c>
      <c r="M43">
        <v>12</v>
      </c>
      <c r="N43">
        <v>5</v>
      </c>
      <c r="O43">
        <v>225</v>
      </c>
      <c r="P43">
        <v>70</v>
      </c>
    </row>
    <row r="44" spans="1:16" x14ac:dyDescent="0.35">
      <c r="A44" s="1" t="s">
        <v>591</v>
      </c>
      <c r="B44" s="1" t="s">
        <v>101</v>
      </c>
      <c r="C44" s="1" t="s">
        <v>76</v>
      </c>
      <c r="D44">
        <v>107</v>
      </c>
      <c r="E44">
        <v>94</v>
      </c>
      <c r="F44">
        <v>14</v>
      </c>
      <c r="G44">
        <v>2068</v>
      </c>
      <c r="H44" s="1" t="s">
        <v>85</v>
      </c>
      <c r="I44">
        <v>25.85</v>
      </c>
      <c r="J44">
        <v>1453</v>
      </c>
      <c r="K44">
        <v>142.32</v>
      </c>
      <c r="L44">
        <v>1</v>
      </c>
      <c r="M44">
        <v>9</v>
      </c>
      <c r="N44">
        <v>2</v>
      </c>
      <c r="O44">
        <v>123</v>
      </c>
      <c r="P44">
        <v>138</v>
      </c>
    </row>
    <row r="45" spans="1:16" x14ac:dyDescent="0.35">
      <c r="A45" s="1" t="s">
        <v>632</v>
      </c>
      <c r="B45" s="1" t="s">
        <v>103</v>
      </c>
      <c r="C45" s="1" t="s">
        <v>34</v>
      </c>
      <c r="D45">
        <v>80</v>
      </c>
      <c r="E45">
        <v>80</v>
      </c>
      <c r="F45">
        <v>0</v>
      </c>
      <c r="G45">
        <v>2067</v>
      </c>
      <c r="H45" s="1" t="s">
        <v>9</v>
      </c>
      <c r="I45">
        <v>25.83</v>
      </c>
      <c r="J45">
        <v>1533</v>
      </c>
      <c r="K45">
        <v>134.83000000000001</v>
      </c>
      <c r="L45">
        <v>1</v>
      </c>
      <c r="M45">
        <v>11</v>
      </c>
      <c r="N45">
        <v>8</v>
      </c>
      <c r="O45">
        <v>161</v>
      </c>
      <c r="P45">
        <v>113</v>
      </c>
    </row>
    <row r="46" spans="1:16" x14ac:dyDescent="0.35">
      <c r="A46" s="1" t="s">
        <v>570</v>
      </c>
      <c r="B46" s="1" t="s">
        <v>107</v>
      </c>
      <c r="C46" s="1" t="s">
        <v>34</v>
      </c>
      <c r="D46">
        <v>77</v>
      </c>
      <c r="E46">
        <v>77</v>
      </c>
      <c r="F46">
        <v>3</v>
      </c>
      <c r="G46">
        <v>2065</v>
      </c>
      <c r="H46" s="1" t="s">
        <v>68</v>
      </c>
      <c r="I46">
        <v>27.9</v>
      </c>
      <c r="J46">
        <v>1412</v>
      </c>
      <c r="K46">
        <v>146.24</v>
      </c>
      <c r="L46">
        <v>2</v>
      </c>
      <c r="M46">
        <v>12</v>
      </c>
      <c r="N46">
        <v>8</v>
      </c>
      <c r="O46">
        <v>178</v>
      </c>
      <c r="P46">
        <v>120</v>
      </c>
    </row>
    <row r="47" spans="1:16" x14ac:dyDescent="0.35">
      <c r="A47" s="1" t="s">
        <v>571</v>
      </c>
      <c r="B47" s="1" t="s">
        <v>103</v>
      </c>
      <c r="C47" s="1" t="s">
        <v>70</v>
      </c>
      <c r="D47">
        <v>73</v>
      </c>
      <c r="E47">
        <v>73</v>
      </c>
      <c r="F47">
        <v>3</v>
      </c>
      <c r="G47">
        <v>2048</v>
      </c>
      <c r="H47" s="1" t="s">
        <v>71</v>
      </c>
      <c r="I47">
        <v>29.25</v>
      </c>
      <c r="J47">
        <v>1550</v>
      </c>
      <c r="K47">
        <v>132.12</v>
      </c>
      <c r="L47">
        <v>1</v>
      </c>
      <c r="M47">
        <v>12</v>
      </c>
      <c r="N47">
        <v>4</v>
      </c>
      <c r="O47">
        <v>229</v>
      </c>
      <c r="P47">
        <v>76</v>
      </c>
    </row>
    <row r="48" spans="1:16" x14ac:dyDescent="0.35">
      <c r="A48" s="1" t="s">
        <v>573</v>
      </c>
      <c r="B48" s="1" t="s">
        <v>240</v>
      </c>
      <c r="C48" s="1" t="s">
        <v>34</v>
      </c>
      <c r="D48">
        <v>66</v>
      </c>
      <c r="E48">
        <v>62</v>
      </c>
      <c r="F48">
        <v>19</v>
      </c>
      <c r="G48">
        <v>1988</v>
      </c>
      <c r="H48" s="1" t="s">
        <v>75</v>
      </c>
      <c r="I48">
        <v>46.23</v>
      </c>
      <c r="J48">
        <v>1593</v>
      </c>
      <c r="K48">
        <v>124.79</v>
      </c>
      <c r="L48">
        <v>0</v>
      </c>
      <c r="M48">
        <v>13</v>
      </c>
      <c r="N48">
        <v>4</v>
      </c>
      <c r="O48">
        <v>164</v>
      </c>
      <c r="P48">
        <v>63</v>
      </c>
    </row>
    <row r="49" spans="1:16" x14ac:dyDescent="0.35">
      <c r="A49" s="1" t="s">
        <v>574</v>
      </c>
      <c r="B49" s="1" t="s">
        <v>117</v>
      </c>
      <c r="C49" s="1" t="s">
        <v>34</v>
      </c>
      <c r="D49">
        <v>72</v>
      </c>
      <c r="E49">
        <v>66</v>
      </c>
      <c r="F49">
        <v>16</v>
      </c>
      <c r="G49">
        <v>1980</v>
      </c>
      <c r="H49" s="1" t="s">
        <v>119</v>
      </c>
      <c r="I49">
        <v>39.6</v>
      </c>
      <c r="J49">
        <v>1484</v>
      </c>
      <c r="K49">
        <v>133.41999999999999</v>
      </c>
      <c r="L49">
        <v>0</v>
      </c>
      <c r="M49">
        <v>15</v>
      </c>
      <c r="N49">
        <v>3</v>
      </c>
      <c r="O49">
        <v>143</v>
      </c>
      <c r="P49">
        <v>111</v>
      </c>
    </row>
    <row r="50" spans="1:16" x14ac:dyDescent="0.35">
      <c r="A50" s="1" t="s">
        <v>575</v>
      </c>
      <c r="B50" s="1" t="s">
        <v>91</v>
      </c>
      <c r="C50" s="1" t="s">
        <v>72</v>
      </c>
      <c r="D50">
        <v>110</v>
      </c>
      <c r="E50">
        <v>103</v>
      </c>
      <c r="F50">
        <v>10</v>
      </c>
      <c r="G50">
        <v>1973</v>
      </c>
      <c r="H50" s="1" t="s">
        <v>73</v>
      </c>
      <c r="I50">
        <v>21.21</v>
      </c>
      <c r="J50">
        <v>1507</v>
      </c>
      <c r="K50">
        <v>130.91999999999999</v>
      </c>
      <c r="L50">
        <v>1</v>
      </c>
      <c r="M50">
        <v>5</v>
      </c>
      <c r="N50">
        <v>12</v>
      </c>
      <c r="O50">
        <v>165</v>
      </c>
      <c r="P50">
        <v>82</v>
      </c>
    </row>
    <row r="51" spans="1:16" x14ac:dyDescent="0.35">
      <c r="A51" s="1" t="s">
        <v>576</v>
      </c>
      <c r="B51" s="1" t="s">
        <v>111</v>
      </c>
      <c r="C51" s="1" t="s">
        <v>112</v>
      </c>
      <c r="D51">
        <v>90</v>
      </c>
      <c r="E51">
        <v>78</v>
      </c>
      <c r="F51">
        <v>17</v>
      </c>
      <c r="G51">
        <v>1956</v>
      </c>
      <c r="H51" s="1" t="s">
        <v>58</v>
      </c>
      <c r="I51">
        <v>32.06</v>
      </c>
      <c r="J51">
        <v>1406</v>
      </c>
      <c r="K51">
        <v>139.11000000000001</v>
      </c>
      <c r="L51">
        <v>1</v>
      </c>
      <c r="M51">
        <v>10</v>
      </c>
      <c r="N51">
        <v>1</v>
      </c>
      <c r="O51">
        <v>139</v>
      </c>
      <c r="P51">
        <v>82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E7D1F-5C15-4D10-B7B8-1C9409718A02}">
  <sheetPr codeName="Sheet2"/>
  <dimension ref="A1:Q51"/>
  <sheetViews>
    <sheetView workbookViewId="0">
      <selection activeCell="C10" sqref="C10"/>
    </sheetView>
  </sheetViews>
  <sheetFormatPr defaultRowHeight="14.5" x14ac:dyDescent="0.35"/>
  <cols>
    <col min="1" max="1" width="17.54296875" bestFit="1" customWidth="1"/>
    <col min="2" max="2" width="14" bestFit="1" customWidth="1"/>
    <col min="3" max="3" width="9.453125" bestFit="1" customWidth="1"/>
    <col min="4" max="4" width="6.54296875" bestFit="1" customWidth="1"/>
    <col min="5" max="5" width="6.6328125" bestFit="1" customWidth="1"/>
    <col min="6" max="6" width="5.7265625" bestFit="1" customWidth="1"/>
    <col min="7" max="7" width="7.1796875" bestFit="1" customWidth="1"/>
    <col min="8" max="8" width="5.26953125" bestFit="1" customWidth="1"/>
    <col min="9" max="9" width="6.1796875" bestFit="1" customWidth="1"/>
    <col min="10" max="10" width="5.08984375" bestFit="1" customWidth="1"/>
    <col min="11" max="11" width="6.81640625" bestFit="1" customWidth="1"/>
    <col min="12" max="12" width="6.08984375" bestFit="1" customWidth="1"/>
    <col min="13" max="13" width="5.08984375" bestFit="1" customWidth="1"/>
    <col min="14" max="14" width="4.08984375" bestFit="1" customWidth="1"/>
    <col min="15" max="16" width="4.90625" bestFit="1" customWidth="1"/>
    <col min="17" max="17" width="10.54296875" bestFit="1" customWidth="1"/>
  </cols>
  <sheetData>
    <row r="1" spans="1:17" x14ac:dyDescent="0.35">
      <c r="A1" t="s">
        <v>86</v>
      </c>
      <c r="B1" t="s">
        <v>87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35">
      <c r="A2" s="1" t="s">
        <v>590</v>
      </c>
      <c r="B2" s="1" t="s">
        <v>593</v>
      </c>
      <c r="C2" s="1" t="s">
        <v>507</v>
      </c>
      <c r="D2">
        <v>106</v>
      </c>
      <c r="E2">
        <v>97</v>
      </c>
      <c r="F2">
        <v>22</v>
      </c>
      <c r="G2">
        <v>1954</v>
      </c>
      <c r="H2" s="1" t="s">
        <v>81</v>
      </c>
      <c r="I2">
        <v>26.05</v>
      </c>
      <c r="J2">
        <v>1611</v>
      </c>
      <c r="K2">
        <v>121.29</v>
      </c>
      <c r="L2">
        <v>0</v>
      </c>
      <c r="M2">
        <v>7</v>
      </c>
      <c r="N2">
        <v>6</v>
      </c>
      <c r="O2">
        <v>123</v>
      </c>
      <c r="P2">
        <v>72</v>
      </c>
      <c r="Q2" s="1" t="s">
        <v>17</v>
      </c>
    </row>
    <row r="3" spans="1:17" x14ac:dyDescent="0.35">
      <c r="A3" s="1" t="s">
        <v>592</v>
      </c>
      <c r="B3" s="1" t="s">
        <v>97</v>
      </c>
      <c r="C3" s="1" t="s">
        <v>74</v>
      </c>
      <c r="D3">
        <v>81</v>
      </c>
      <c r="E3">
        <v>75</v>
      </c>
      <c r="F3">
        <v>25</v>
      </c>
      <c r="G3">
        <v>1934</v>
      </c>
      <c r="H3" s="1" t="s">
        <v>75</v>
      </c>
      <c r="I3">
        <v>38.68</v>
      </c>
      <c r="J3">
        <v>1532</v>
      </c>
      <c r="K3">
        <v>126.24</v>
      </c>
      <c r="L3">
        <v>0</v>
      </c>
      <c r="M3">
        <v>11</v>
      </c>
      <c r="N3">
        <v>6</v>
      </c>
      <c r="O3">
        <v>138</v>
      </c>
      <c r="P3">
        <v>71</v>
      </c>
      <c r="Q3" s="1" t="s">
        <v>17</v>
      </c>
    </row>
    <row r="4" spans="1:17" x14ac:dyDescent="0.35">
      <c r="A4" s="1" t="s">
        <v>151</v>
      </c>
      <c r="B4" s="1" t="s">
        <v>127</v>
      </c>
      <c r="C4" s="1" t="s">
        <v>59</v>
      </c>
      <c r="D4">
        <v>93</v>
      </c>
      <c r="E4">
        <v>81</v>
      </c>
      <c r="F4">
        <v>17</v>
      </c>
      <c r="G4">
        <v>1930</v>
      </c>
      <c r="H4" s="1" t="s">
        <v>153</v>
      </c>
      <c r="I4">
        <v>30.15</v>
      </c>
      <c r="J4">
        <v>1420</v>
      </c>
      <c r="K4">
        <v>135.91</v>
      </c>
      <c r="L4">
        <v>1</v>
      </c>
      <c r="M4">
        <v>11</v>
      </c>
      <c r="N4">
        <v>4</v>
      </c>
      <c r="O4">
        <v>153</v>
      </c>
      <c r="P4">
        <v>103</v>
      </c>
      <c r="Q4" s="1" t="s">
        <v>17</v>
      </c>
    </row>
    <row r="5" spans="1:17" x14ac:dyDescent="0.35">
      <c r="A5" s="1" t="s">
        <v>503</v>
      </c>
      <c r="B5" s="1" t="s">
        <v>92</v>
      </c>
      <c r="C5" s="1" t="s">
        <v>76</v>
      </c>
      <c r="D5">
        <v>83</v>
      </c>
      <c r="E5">
        <v>74</v>
      </c>
      <c r="F5">
        <v>12</v>
      </c>
      <c r="G5">
        <v>1929</v>
      </c>
      <c r="H5" s="1" t="s">
        <v>77</v>
      </c>
      <c r="I5">
        <v>31.11</v>
      </c>
      <c r="J5">
        <v>1372</v>
      </c>
      <c r="K5">
        <v>140.59</v>
      </c>
      <c r="L5">
        <v>2</v>
      </c>
      <c r="M5">
        <v>10</v>
      </c>
      <c r="N5">
        <v>3</v>
      </c>
      <c r="O5">
        <v>138</v>
      </c>
      <c r="P5">
        <v>91</v>
      </c>
      <c r="Q5" s="1" t="s">
        <v>17</v>
      </c>
    </row>
    <row r="6" spans="1:17" x14ac:dyDescent="0.35">
      <c r="A6" s="1" t="s">
        <v>172</v>
      </c>
      <c r="B6" s="1" t="s">
        <v>105</v>
      </c>
      <c r="C6" s="1" t="s">
        <v>61</v>
      </c>
      <c r="D6">
        <v>73</v>
      </c>
      <c r="E6">
        <v>72</v>
      </c>
      <c r="F6">
        <v>7</v>
      </c>
      <c r="G6">
        <v>1912</v>
      </c>
      <c r="H6" s="1" t="s">
        <v>31</v>
      </c>
      <c r="I6">
        <v>29.41</v>
      </c>
      <c r="J6">
        <v>1596</v>
      </c>
      <c r="K6">
        <v>119.79</v>
      </c>
      <c r="L6">
        <v>1</v>
      </c>
      <c r="M6">
        <v>9</v>
      </c>
      <c r="N6">
        <v>2</v>
      </c>
      <c r="O6">
        <v>196</v>
      </c>
      <c r="P6">
        <v>31</v>
      </c>
      <c r="Q6" s="1" t="s">
        <v>17</v>
      </c>
    </row>
    <row r="7" spans="1:17" x14ac:dyDescent="0.35">
      <c r="A7" s="1" t="s">
        <v>504</v>
      </c>
      <c r="B7" s="1" t="s">
        <v>101</v>
      </c>
      <c r="C7" s="1" t="s">
        <v>47</v>
      </c>
      <c r="D7">
        <v>79</v>
      </c>
      <c r="E7">
        <v>75</v>
      </c>
      <c r="F7">
        <v>7</v>
      </c>
      <c r="G7">
        <v>1899</v>
      </c>
      <c r="H7" s="1" t="s">
        <v>40</v>
      </c>
      <c r="I7">
        <v>27.92</v>
      </c>
      <c r="J7">
        <v>1381</v>
      </c>
      <c r="K7">
        <v>137.5</v>
      </c>
      <c r="L7">
        <v>2</v>
      </c>
      <c r="M7">
        <v>14</v>
      </c>
      <c r="N7">
        <v>4</v>
      </c>
      <c r="O7">
        <v>158</v>
      </c>
      <c r="P7">
        <v>124</v>
      </c>
      <c r="Q7" s="1" t="s">
        <v>17</v>
      </c>
    </row>
    <row r="8" spans="1:17" x14ac:dyDescent="0.35">
      <c r="A8" s="1" t="s">
        <v>505</v>
      </c>
      <c r="B8" s="1" t="s">
        <v>90</v>
      </c>
      <c r="C8" s="1" t="s">
        <v>82</v>
      </c>
      <c r="D8">
        <v>62</v>
      </c>
      <c r="E8">
        <v>60</v>
      </c>
      <c r="F8">
        <v>8</v>
      </c>
      <c r="G8">
        <v>1892</v>
      </c>
      <c r="H8" s="1" t="s">
        <v>83</v>
      </c>
      <c r="I8">
        <v>36.380000000000003</v>
      </c>
      <c r="J8">
        <v>1428</v>
      </c>
      <c r="K8">
        <v>132.49</v>
      </c>
      <c r="L8">
        <v>1</v>
      </c>
      <c r="M8">
        <v>16</v>
      </c>
      <c r="N8">
        <v>2</v>
      </c>
      <c r="O8">
        <v>194</v>
      </c>
      <c r="P8">
        <v>62</v>
      </c>
      <c r="Q8" s="1" t="s">
        <v>17</v>
      </c>
    </row>
    <row r="9" spans="1:17" x14ac:dyDescent="0.35">
      <c r="A9" s="1" t="s">
        <v>143</v>
      </c>
      <c r="B9" s="1" t="s">
        <v>94</v>
      </c>
      <c r="C9" s="1" t="s">
        <v>34</v>
      </c>
      <c r="D9">
        <v>99</v>
      </c>
      <c r="E9">
        <v>84</v>
      </c>
      <c r="F9">
        <v>8</v>
      </c>
      <c r="G9">
        <v>1890</v>
      </c>
      <c r="H9" s="1" t="s">
        <v>144</v>
      </c>
      <c r="I9">
        <v>24.86</v>
      </c>
      <c r="J9">
        <v>1526</v>
      </c>
      <c r="K9">
        <v>123.85</v>
      </c>
      <c r="L9">
        <v>1</v>
      </c>
      <c r="M9">
        <v>8</v>
      </c>
      <c r="N9">
        <v>6</v>
      </c>
      <c r="O9">
        <v>144</v>
      </c>
      <c r="P9">
        <v>72</v>
      </c>
      <c r="Q9" s="1" t="s">
        <v>17</v>
      </c>
    </row>
    <row r="10" spans="1:17" x14ac:dyDescent="0.35">
      <c r="A10" s="1" t="s">
        <v>128</v>
      </c>
      <c r="B10" s="1" t="s">
        <v>129</v>
      </c>
      <c r="C10" s="1" t="s">
        <v>64</v>
      </c>
      <c r="D10">
        <v>100</v>
      </c>
      <c r="E10">
        <v>86</v>
      </c>
      <c r="F10">
        <v>15</v>
      </c>
      <c r="G10">
        <v>1890</v>
      </c>
      <c r="H10" s="1" t="s">
        <v>29</v>
      </c>
      <c r="I10">
        <v>26.61</v>
      </c>
      <c r="J10">
        <v>1398</v>
      </c>
      <c r="K10">
        <v>135.19</v>
      </c>
      <c r="L10">
        <v>1</v>
      </c>
      <c r="M10">
        <v>10</v>
      </c>
      <c r="N10">
        <v>5</v>
      </c>
      <c r="O10">
        <v>159</v>
      </c>
      <c r="P10">
        <v>76</v>
      </c>
      <c r="Q10" s="1" t="s">
        <v>17</v>
      </c>
    </row>
    <row r="11" spans="1:17" x14ac:dyDescent="0.35">
      <c r="A11" s="1" t="s">
        <v>506</v>
      </c>
      <c r="B11" s="1" t="s">
        <v>108</v>
      </c>
      <c r="C11" s="1" t="s">
        <v>84</v>
      </c>
      <c r="D11">
        <v>80</v>
      </c>
      <c r="E11">
        <v>79</v>
      </c>
      <c r="F11">
        <v>12</v>
      </c>
      <c r="G11">
        <v>1889</v>
      </c>
      <c r="H11" s="1" t="s">
        <v>29</v>
      </c>
      <c r="I11">
        <v>28.19</v>
      </c>
      <c r="J11">
        <v>1567</v>
      </c>
      <c r="K11">
        <v>120.54</v>
      </c>
      <c r="L11">
        <v>1</v>
      </c>
      <c r="M11">
        <v>13</v>
      </c>
      <c r="N11">
        <v>10</v>
      </c>
      <c r="O11">
        <v>223</v>
      </c>
      <c r="P11">
        <v>33</v>
      </c>
      <c r="Q11" s="1" t="s">
        <v>17</v>
      </c>
    </row>
    <row r="12" spans="1:17" x14ac:dyDescent="0.35">
      <c r="A12" s="1" t="s">
        <v>226</v>
      </c>
      <c r="B12" s="1" t="s">
        <v>100</v>
      </c>
      <c r="C12" s="1" t="s">
        <v>112</v>
      </c>
      <c r="D12">
        <v>112</v>
      </c>
      <c r="E12">
        <v>104</v>
      </c>
      <c r="F12">
        <v>32</v>
      </c>
      <c r="G12">
        <v>1885</v>
      </c>
      <c r="H12" s="1" t="s">
        <v>418</v>
      </c>
      <c r="I12">
        <v>26.18</v>
      </c>
      <c r="J12">
        <v>1507</v>
      </c>
      <c r="K12">
        <v>125.08</v>
      </c>
      <c r="L12">
        <v>0</v>
      </c>
      <c r="M12">
        <v>4</v>
      </c>
      <c r="N12">
        <v>3</v>
      </c>
      <c r="O12">
        <v>133</v>
      </c>
      <c r="P12">
        <v>79</v>
      </c>
      <c r="Q12" s="1" t="s">
        <v>17</v>
      </c>
    </row>
    <row r="13" spans="1:17" x14ac:dyDescent="0.35">
      <c r="A13" s="1" t="s">
        <v>113</v>
      </c>
      <c r="B13" s="1" t="s">
        <v>88</v>
      </c>
      <c r="C13" s="1" t="s">
        <v>78</v>
      </c>
      <c r="D13">
        <v>120</v>
      </c>
      <c r="E13">
        <v>94</v>
      </c>
      <c r="F13">
        <v>26</v>
      </c>
      <c r="G13">
        <v>1860</v>
      </c>
      <c r="H13" s="1" t="s">
        <v>114</v>
      </c>
      <c r="I13">
        <v>27.35</v>
      </c>
      <c r="J13">
        <v>1319</v>
      </c>
      <c r="K13">
        <v>141.01</v>
      </c>
      <c r="L13">
        <v>0</v>
      </c>
      <c r="M13">
        <v>5</v>
      </c>
      <c r="N13">
        <v>3</v>
      </c>
      <c r="O13">
        <v>140</v>
      </c>
      <c r="P13">
        <v>96</v>
      </c>
      <c r="Q13" s="1" t="s">
        <v>17</v>
      </c>
    </row>
    <row r="14" spans="1:17" x14ac:dyDescent="0.35">
      <c r="A14" s="1" t="s">
        <v>173</v>
      </c>
      <c r="B14" s="1" t="s">
        <v>92</v>
      </c>
      <c r="C14" s="1" t="s">
        <v>112</v>
      </c>
      <c r="D14">
        <v>77</v>
      </c>
      <c r="E14">
        <v>72</v>
      </c>
      <c r="F14">
        <v>10</v>
      </c>
      <c r="G14">
        <v>1850</v>
      </c>
      <c r="H14" s="1" t="s">
        <v>174</v>
      </c>
      <c r="I14">
        <v>29.83</v>
      </c>
      <c r="J14">
        <v>1298</v>
      </c>
      <c r="K14">
        <v>142.52000000000001</v>
      </c>
      <c r="L14">
        <v>0</v>
      </c>
      <c r="M14">
        <v>12</v>
      </c>
      <c r="N14">
        <v>5</v>
      </c>
      <c r="O14">
        <v>165</v>
      </c>
      <c r="P14">
        <v>91</v>
      </c>
      <c r="Q14" s="1" t="s">
        <v>17</v>
      </c>
    </row>
    <row r="15" spans="1:17" x14ac:dyDescent="0.35">
      <c r="A15" s="1" t="s">
        <v>163</v>
      </c>
      <c r="B15" s="1" t="s">
        <v>164</v>
      </c>
      <c r="C15" s="1" t="s">
        <v>34</v>
      </c>
      <c r="D15">
        <v>77</v>
      </c>
      <c r="E15">
        <v>73</v>
      </c>
      <c r="F15">
        <v>16</v>
      </c>
      <c r="G15">
        <v>1833</v>
      </c>
      <c r="H15" s="1" t="s">
        <v>31</v>
      </c>
      <c r="I15">
        <v>32.15</v>
      </c>
      <c r="J15">
        <v>1478</v>
      </c>
      <c r="K15">
        <v>124.01</v>
      </c>
      <c r="L15">
        <v>1</v>
      </c>
      <c r="M15">
        <v>13</v>
      </c>
      <c r="N15">
        <v>3</v>
      </c>
      <c r="O15">
        <v>146</v>
      </c>
      <c r="P15">
        <v>64</v>
      </c>
      <c r="Q15" s="1" t="s">
        <v>17</v>
      </c>
    </row>
    <row r="16" spans="1:17" x14ac:dyDescent="0.35">
      <c r="A16" s="1" t="s">
        <v>109</v>
      </c>
      <c r="B16" s="1" t="s">
        <v>103</v>
      </c>
      <c r="C16" s="1" t="s">
        <v>36</v>
      </c>
      <c r="D16">
        <v>107</v>
      </c>
      <c r="E16">
        <v>95</v>
      </c>
      <c r="F16">
        <v>33</v>
      </c>
      <c r="G16">
        <v>1830</v>
      </c>
      <c r="H16" s="1" t="s">
        <v>110</v>
      </c>
      <c r="I16">
        <v>29.51</v>
      </c>
      <c r="J16">
        <v>1328</v>
      </c>
      <c r="K16">
        <v>137.80000000000001</v>
      </c>
      <c r="L16">
        <v>0</v>
      </c>
      <c r="M16">
        <v>8</v>
      </c>
      <c r="N16">
        <v>6</v>
      </c>
      <c r="O16">
        <v>126</v>
      </c>
      <c r="P16">
        <v>97</v>
      </c>
      <c r="Q16" s="1" t="s">
        <v>17</v>
      </c>
    </row>
    <row r="17" spans="1:17" x14ac:dyDescent="0.35">
      <c r="A17" s="1" t="s">
        <v>171</v>
      </c>
      <c r="B17" s="1" t="s">
        <v>111</v>
      </c>
      <c r="C17" s="1" t="s">
        <v>38</v>
      </c>
      <c r="D17">
        <v>70</v>
      </c>
      <c r="E17">
        <v>68</v>
      </c>
      <c r="F17">
        <v>6</v>
      </c>
      <c r="G17">
        <v>1807</v>
      </c>
      <c r="H17" s="1" t="s">
        <v>29</v>
      </c>
      <c r="I17">
        <v>29.14</v>
      </c>
      <c r="J17">
        <v>1419</v>
      </c>
      <c r="K17">
        <v>127.34</v>
      </c>
      <c r="L17">
        <v>1</v>
      </c>
      <c r="M17">
        <v>13</v>
      </c>
      <c r="N17">
        <v>5</v>
      </c>
      <c r="O17">
        <v>171</v>
      </c>
      <c r="P17">
        <v>75</v>
      </c>
      <c r="Q17" s="1" t="s">
        <v>17</v>
      </c>
    </row>
    <row r="18" spans="1:17" x14ac:dyDescent="0.35">
      <c r="A18" s="1" t="s">
        <v>135</v>
      </c>
      <c r="B18" s="1" t="s">
        <v>100</v>
      </c>
      <c r="C18" s="1" t="s">
        <v>507</v>
      </c>
      <c r="D18">
        <v>85</v>
      </c>
      <c r="E18">
        <v>84</v>
      </c>
      <c r="F18">
        <v>8</v>
      </c>
      <c r="G18">
        <v>1805</v>
      </c>
      <c r="H18" s="1" t="s">
        <v>359</v>
      </c>
      <c r="I18">
        <v>23.75</v>
      </c>
      <c r="J18">
        <v>1407</v>
      </c>
      <c r="K18">
        <v>128.28</v>
      </c>
      <c r="L18">
        <v>0</v>
      </c>
      <c r="M18">
        <v>12</v>
      </c>
      <c r="N18">
        <v>7</v>
      </c>
      <c r="O18">
        <v>178</v>
      </c>
      <c r="P18">
        <v>44</v>
      </c>
      <c r="Q18" s="1" t="s">
        <v>17</v>
      </c>
    </row>
    <row r="19" spans="1:17" x14ac:dyDescent="0.35">
      <c r="A19" s="1" t="s">
        <v>115</v>
      </c>
      <c r="B19" s="1" t="s">
        <v>101</v>
      </c>
      <c r="C19" s="1" t="s">
        <v>78</v>
      </c>
      <c r="D19">
        <v>65</v>
      </c>
      <c r="E19">
        <v>64</v>
      </c>
      <c r="F19">
        <v>4</v>
      </c>
      <c r="G19">
        <v>1782</v>
      </c>
      <c r="H19" s="1" t="s">
        <v>116</v>
      </c>
      <c r="I19">
        <v>29.7</v>
      </c>
      <c r="J19">
        <v>1155</v>
      </c>
      <c r="K19">
        <v>154.28</v>
      </c>
      <c r="L19">
        <v>2</v>
      </c>
      <c r="M19">
        <v>13</v>
      </c>
      <c r="N19">
        <v>6</v>
      </c>
      <c r="O19">
        <v>135</v>
      </c>
      <c r="P19">
        <v>136</v>
      </c>
      <c r="Q19" s="1" t="s">
        <v>17</v>
      </c>
    </row>
    <row r="20" spans="1:17" x14ac:dyDescent="0.35">
      <c r="A20" s="1" t="s">
        <v>134</v>
      </c>
      <c r="B20" s="1" t="s">
        <v>107</v>
      </c>
      <c r="C20" s="1" t="s">
        <v>34</v>
      </c>
      <c r="D20">
        <v>73</v>
      </c>
      <c r="E20">
        <v>71</v>
      </c>
      <c r="F20">
        <v>7</v>
      </c>
      <c r="G20">
        <v>1764</v>
      </c>
      <c r="H20" s="1" t="s">
        <v>60</v>
      </c>
      <c r="I20">
        <v>27.56</v>
      </c>
      <c r="J20">
        <v>1357</v>
      </c>
      <c r="K20">
        <v>129.99</v>
      </c>
      <c r="L20">
        <v>0</v>
      </c>
      <c r="M20">
        <v>12</v>
      </c>
      <c r="N20">
        <v>4</v>
      </c>
      <c r="O20">
        <v>149</v>
      </c>
      <c r="P20">
        <v>60</v>
      </c>
      <c r="Q20" s="1" t="s">
        <v>17</v>
      </c>
    </row>
    <row r="21" spans="1:17" x14ac:dyDescent="0.35">
      <c r="A21" s="1" t="s">
        <v>120</v>
      </c>
      <c r="B21" s="1" t="s">
        <v>88</v>
      </c>
      <c r="C21" s="1" t="s">
        <v>121</v>
      </c>
      <c r="D21">
        <v>68</v>
      </c>
      <c r="E21">
        <v>66</v>
      </c>
      <c r="F21">
        <v>3</v>
      </c>
      <c r="G21">
        <v>1759</v>
      </c>
      <c r="H21" s="1" t="s">
        <v>122</v>
      </c>
      <c r="I21">
        <v>27.92</v>
      </c>
      <c r="J21">
        <v>1392</v>
      </c>
      <c r="K21">
        <v>126.36</v>
      </c>
      <c r="L21">
        <v>0</v>
      </c>
      <c r="M21">
        <v>11</v>
      </c>
      <c r="N21">
        <v>2</v>
      </c>
      <c r="O21">
        <v>191</v>
      </c>
      <c r="P21">
        <v>50</v>
      </c>
      <c r="Q21" s="1" t="s">
        <v>17</v>
      </c>
    </row>
    <row r="22" spans="1:17" x14ac:dyDescent="0.35">
      <c r="A22" s="1" t="s">
        <v>123</v>
      </c>
      <c r="B22" s="1" t="s">
        <v>124</v>
      </c>
      <c r="C22" s="1" t="s">
        <v>125</v>
      </c>
      <c r="D22">
        <v>78</v>
      </c>
      <c r="E22">
        <v>78</v>
      </c>
      <c r="F22">
        <v>5</v>
      </c>
      <c r="G22">
        <v>1758</v>
      </c>
      <c r="H22" s="1" t="s">
        <v>83</v>
      </c>
      <c r="I22">
        <v>24.08</v>
      </c>
      <c r="J22">
        <v>1503</v>
      </c>
      <c r="K22">
        <v>116.96</v>
      </c>
      <c r="L22">
        <v>1</v>
      </c>
      <c r="M22">
        <v>7</v>
      </c>
      <c r="N22">
        <v>6</v>
      </c>
      <c r="O22">
        <v>188</v>
      </c>
      <c r="P22">
        <v>45</v>
      </c>
      <c r="Q22" s="1" t="s">
        <v>17</v>
      </c>
    </row>
    <row r="23" spans="1:17" x14ac:dyDescent="0.35">
      <c r="A23" s="1" t="s">
        <v>161</v>
      </c>
      <c r="B23" s="1" t="s">
        <v>162</v>
      </c>
      <c r="C23" s="1" t="s">
        <v>34</v>
      </c>
      <c r="D23">
        <v>61</v>
      </c>
      <c r="E23">
        <v>61</v>
      </c>
      <c r="F23">
        <v>5</v>
      </c>
      <c r="G23">
        <v>1743</v>
      </c>
      <c r="H23" s="1" t="s">
        <v>69</v>
      </c>
      <c r="I23">
        <v>31.12</v>
      </c>
      <c r="J23">
        <v>1005</v>
      </c>
      <c r="K23">
        <v>173.43</v>
      </c>
      <c r="L23">
        <v>1</v>
      </c>
      <c r="M23">
        <v>10</v>
      </c>
      <c r="N23">
        <v>7</v>
      </c>
      <c r="O23">
        <v>180</v>
      </c>
      <c r="P23">
        <v>106</v>
      </c>
      <c r="Q23" s="1" t="s">
        <v>17</v>
      </c>
    </row>
    <row r="24" spans="1:17" x14ac:dyDescent="0.35">
      <c r="A24" s="1" t="s">
        <v>126</v>
      </c>
      <c r="B24" s="1" t="s">
        <v>127</v>
      </c>
      <c r="C24" s="1" t="s">
        <v>15</v>
      </c>
      <c r="D24">
        <v>75</v>
      </c>
      <c r="E24">
        <v>70</v>
      </c>
      <c r="F24">
        <v>12</v>
      </c>
      <c r="G24">
        <v>1742</v>
      </c>
      <c r="H24" s="1" t="s">
        <v>75</v>
      </c>
      <c r="I24">
        <v>30.03</v>
      </c>
      <c r="J24">
        <v>1460</v>
      </c>
      <c r="K24">
        <v>119.31</v>
      </c>
      <c r="L24">
        <v>0</v>
      </c>
      <c r="M24">
        <v>9</v>
      </c>
      <c r="N24">
        <v>6</v>
      </c>
      <c r="O24">
        <v>127</v>
      </c>
      <c r="P24">
        <v>84</v>
      </c>
      <c r="Q24" s="1" t="s">
        <v>17</v>
      </c>
    </row>
    <row r="25" spans="1:17" x14ac:dyDescent="0.35">
      <c r="A25" s="1" t="s">
        <v>131</v>
      </c>
      <c r="B25" s="1" t="s">
        <v>92</v>
      </c>
      <c r="C25" s="1" t="s">
        <v>132</v>
      </c>
      <c r="D25">
        <v>65</v>
      </c>
      <c r="E25">
        <v>62</v>
      </c>
      <c r="F25">
        <v>7</v>
      </c>
      <c r="G25">
        <v>1724</v>
      </c>
      <c r="H25" s="1" t="s">
        <v>133</v>
      </c>
      <c r="I25">
        <v>31.34</v>
      </c>
      <c r="J25">
        <v>1102</v>
      </c>
      <c r="K25">
        <v>156.44</v>
      </c>
      <c r="L25">
        <v>3</v>
      </c>
      <c r="M25">
        <v>11</v>
      </c>
      <c r="N25">
        <v>5</v>
      </c>
      <c r="O25">
        <v>132</v>
      </c>
      <c r="P25">
        <v>107</v>
      </c>
      <c r="Q25" s="1" t="s">
        <v>17</v>
      </c>
    </row>
    <row r="26" spans="1:17" x14ac:dyDescent="0.35">
      <c r="A26" s="1" t="s">
        <v>493</v>
      </c>
      <c r="B26" s="1" t="s">
        <v>274</v>
      </c>
      <c r="C26" s="1" t="s">
        <v>488</v>
      </c>
      <c r="D26">
        <v>41</v>
      </c>
      <c r="E26">
        <v>40</v>
      </c>
      <c r="F26">
        <v>4</v>
      </c>
      <c r="G26">
        <v>1721</v>
      </c>
      <c r="H26" s="1" t="s">
        <v>402</v>
      </c>
      <c r="I26">
        <v>47.8</v>
      </c>
      <c r="J26">
        <v>1017</v>
      </c>
      <c r="K26">
        <v>169.22</v>
      </c>
      <c r="L26">
        <v>2</v>
      </c>
      <c r="M26">
        <v>16</v>
      </c>
      <c r="N26">
        <v>3</v>
      </c>
      <c r="O26">
        <v>147</v>
      </c>
      <c r="P26">
        <v>136</v>
      </c>
      <c r="Q26" s="1" t="s">
        <v>17</v>
      </c>
    </row>
    <row r="27" spans="1:17" x14ac:dyDescent="0.35">
      <c r="A27" s="1" t="s">
        <v>191</v>
      </c>
      <c r="B27" s="1" t="s">
        <v>101</v>
      </c>
      <c r="C27" s="1" t="s">
        <v>34</v>
      </c>
      <c r="D27">
        <v>73</v>
      </c>
      <c r="E27">
        <v>71</v>
      </c>
      <c r="F27">
        <v>5</v>
      </c>
      <c r="G27">
        <v>1704</v>
      </c>
      <c r="H27" s="1" t="s">
        <v>192</v>
      </c>
      <c r="I27">
        <v>25.81</v>
      </c>
      <c r="J27">
        <v>1275</v>
      </c>
      <c r="K27">
        <v>133.63999999999999</v>
      </c>
      <c r="L27">
        <v>0</v>
      </c>
      <c r="M27">
        <v>13</v>
      </c>
      <c r="N27">
        <v>6</v>
      </c>
      <c r="O27">
        <v>183</v>
      </c>
      <c r="P27">
        <v>75</v>
      </c>
      <c r="Q27" s="1" t="s">
        <v>17</v>
      </c>
    </row>
    <row r="28" spans="1:17" x14ac:dyDescent="0.35">
      <c r="A28" s="1" t="s">
        <v>136</v>
      </c>
      <c r="B28" s="1" t="s">
        <v>89</v>
      </c>
      <c r="C28" s="1" t="s">
        <v>137</v>
      </c>
      <c r="D28">
        <v>84</v>
      </c>
      <c r="E28">
        <v>79</v>
      </c>
      <c r="F28">
        <v>14</v>
      </c>
      <c r="G28">
        <v>1690</v>
      </c>
      <c r="H28" s="1" t="s">
        <v>138</v>
      </c>
      <c r="I28">
        <v>26</v>
      </c>
      <c r="J28">
        <v>1377</v>
      </c>
      <c r="K28">
        <v>122.73</v>
      </c>
      <c r="L28">
        <v>0</v>
      </c>
      <c r="M28">
        <v>8</v>
      </c>
      <c r="N28">
        <v>10</v>
      </c>
      <c r="O28">
        <v>122</v>
      </c>
      <c r="P28">
        <v>55</v>
      </c>
      <c r="Q28" s="1" t="s">
        <v>17</v>
      </c>
    </row>
    <row r="29" spans="1:17" x14ac:dyDescent="0.35">
      <c r="A29" s="1" t="s">
        <v>205</v>
      </c>
      <c r="B29" s="1" t="s">
        <v>108</v>
      </c>
      <c r="C29" s="1" t="s">
        <v>61</v>
      </c>
      <c r="D29">
        <v>119</v>
      </c>
      <c r="E29">
        <v>107</v>
      </c>
      <c r="F29">
        <v>24</v>
      </c>
      <c r="G29">
        <v>1676</v>
      </c>
      <c r="H29" s="1" t="s">
        <v>206</v>
      </c>
      <c r="I29">
        <v>20.190000000000001</v>
      </c>
      <c r="J29">
        <v>1355</v>
      </c>
      <c r="K29">
        <v>123.69</v>
      </c>
      <c r="L29">
        <v>0</v>
      </c>
      <c r="M29">
        <v>6</v>
      </c>
      <c r="N29">
        <v>15</v>
      </c>
      <c r="O29">
        <v>123</v>
      </c>
      <c r="P29">
        <v>84</v>
      </c>
      <c r="Q29" s="1" t="s">
        <v>17</v>
      </c>
    </row>
    <row r="30" spans="1:17" x14ac:dyDescent="0.35">
      <c r="A30" s="1" t="s">
        <v>222</v>
      </c>
      <c r="B30" s="1" t="s">
        <v>92</v>
      </c>
      <c r="C30" s="1" t="s">
        <v>169</v>
      </c>
      <c r="D30">
        <v>62</v>
      </c>
      <c r="E30">
        <v>56</v>
      </c>
      <c r="F30">
        <v>11</v>
      </c>
      <c r="G30">
        <v>1675</v>
      </c>
      <c r="H30" s="1" t="s">
        <v>48</v>
      </c>
      <c r="I30">
        <v>37.22</v>
      </c>
      <c r="J30">
        <v>1314</v>
      </c>
      <c r="K30">
        <v>127.47</v>
      </c>
      <c r="L30">
        <v>0</v>
      </c>
      <c r="M30">
        <v>12</v>
      </c>
      <c r="N30">
        <v>2</v>
      </c>
      <c r="O30">
        <v>162</v>
      </c>
      <c r="P30">
        <v>44</v>
      </c>
      <c r="Q30" s="1" t="s">
        <v>17</v>
      </c>
    </row>
    <row r="31" spans="1:17" x14ac:dyDescent="0.35">
      <c r="A31" s="1" t="s">
        <v>198</v>
      </c>
      <c r="B31" s="1" t="s">
        <v>92</v>
      </c>
      <c r="C31" s="1" t="s">
        <v>34</v>
      </c>
      <c r="D31">
        <v>90</v>
      </c>
      <c r="E31">
        <v>80</v>
      </c>
      <c r="F31">
        <v>18</v>
      </c>
      <c r="G31">
        <v>1674</v>
      </c>
      <c r="H31" s="1" t="s">
        <v>190</v>
      </c>
      <c r="I31">
        <v>27</v>
      </c>
      <c r="J31">
        <v>1206</v>
      </c>
      <c r="K31">
        <v>138.80000000000001</v>
      </c>
      <c r="L31">
        <v>0</v>
      </c>
      <c r="M31">
        <v>8</v>
      </c>
      <c r="N31">
        <v>2</v>
      </c>
      <c r="O31">
        <v>114</v>
      </c>
      <c r="P31">
        <v>63</v>
      </c>
      <c r="Q31" s="1" t="s">
        <v>17</v>
      </c>
    </row>
    <row r="32" spans="1:17" x14ac:dyDescent="0.35">
      <c r="A32" s="1" t="s">
        <v>139</v>
      </c>
      <c r="B32" s="1" t="s">
        <v>97</v>
      </c>
      <c r="C32" s="1" t="s">
        <v>140</v>
      </c>
      <c r="D32">
        <v>78</v>
      </c>
      <c r="E32">
        <v>75</v>
      </c>
      <c r="F32">
        <v>11</v>
      </c>
      <c r="G32">
        <v>1672</v>
      </c>
      <c r="H32" s="1" t="s">
        <v>141</v>
      </c>
      <c r="I32">
        <v>26.12</v>
      </c>
      <c r="J32">
        <v>1237</v>
      </c>
      <c r="K32">
        <v>135.16</v>
      </c>
      <c r="L32">
        <v>0</v>
      </c>
      <c r="M32">
        <v>10</v>
      </c>
      <c r="N32">
        <v>5</v>
      </c>
      <c r="O32">
        <v>140</v>
      </c>
      <c r="P32">
        <v>60</v>
      </c>
      <c r="Q32" s="1" t="s">
        <v>17</v>
      </c>
    </row>
    <row r="33" spans="1:17" x14ac:dyDescent="0.35">
      <c r="A33" s="1" t="s">
        <v>142</v>
      </c>
      <c r="B33" s="1" t="s">
        <v>90</v>
      </c>
      <c r="C33" s="1" t="s">
        <v>42</v>
      </c>
      <c r="D33">
        <v>80</v>
      </c>
      <c r="E33">
        <v>72</v>
      </c>
      <c r="F33">
        <v>16</v>
      </c>
      <c r="G33">
        <v>1671</v>
      </c>
      <c r="H33" s="1" t="s">
        <v>130</v>
      </c>
      <c r="I33">
        <v>29.83</v>
      </c>
      <c r="J33">
        <v>1215</v>
      </c>
      <c r="K33">
        <v>137.53</v>
      </c>
      <c r="L33">
        <v>0</v>
      </c>
      <c r="M33">
        <v>10</v>
      </c>
      <c r="N33">
        <v>6</v>
      </c>
      <c r="O33">
        <v>148</v>
      </c>
      <c r="P33">
        <v>76</v>
      </c>
      <c r="Q33" s="1" t="s">
        <v>17</v>
      </c>
    </row>
    <row r="34" spans="1:17" x14ac:dyDescent="0.35">
      <c r="A34" s="1" t="s">
        <v>175</v>
      </c>
      <c r="B34" s="1" t="s">
        <v>176</v>
      </c>
      <c r="C34" s="1" t="s">
        <v>177</v>
      </c>
      <c r="D34">
        <v>45</v>
      </c>
      <c r="E34">
        <v>45</v>
      </c>
      <c r="F34">
        <v>4</v>
      </c>
      <c r="G34">
        <v>1669</v>
      </c>
      <c r="H34" s="1" t="s">
        <v>178</v>
      </c>
      <c r="I34">
        <v>40.700000000000003</v>
      </c>
      <c r="J34">
        <v>1150</v>
      </c>
      <c r="K34">
        <v>145.13</v>
      </c>
      <c r="L34">
        <v>2</v>
      </c>
      <c r="M34">
        <v>11</v>
      </c>
      <c r="N34">
        <v>1</v>
      </c>
      <c r="O34">
        <v>129</v>
      </c>
      <c r="P34">
        <v>84</v>
      </c>
      <c r="Q34" s="1" t="s">
        <v>17</v>
      </c>
    </row>
    <row r="35" spans="1:17" x14ac:dyDescent="0.35">
      <c r="A35" s="1" t="s">
        <v>145</v>
      </c>
      <c r="B35" s="1" t="s">
        <v>100</v>
      </c>
      <c r="C35" s="1" t="s">
        <v>146</v>
      </c>
      <c r="D35">
        <v>66</v>
      </c>
      <c r="E35">
        <v>66</v>
      </c>
      <c r="F35">
        <v>2</v>
      </c>
      <c r="G35">
        <v>1662</v>
      </c>
      <c r="H35" s="1" t="s">
        <v>147</v>
      </c>
      <c r="I35">
        <v>25.96</v>
      </c>
      <c r="J35">
        <v>1418</v>
      </c>
      <c r="K35">
        <v>117.2</v>
      </c>
      <c r="L35">
        <v>0</v>
      </c>
      <c r="M35">
        <v>11</v>
      </c>
      <c r="N35">
        <v>1</v>
      </c>
      <c r="O35">
        <v>151</v>
      </c>
      <c r="P35">
        <v>65</v>
      </c>
      <c r="Q35" s="1" t="s">
        <v>17</v>
      </c>
    </row>
    <row r="36" spans="1:17" x14ac:dyDescent="0.35">
      <c r="A36" s="1" t="s">
        <v>333</v>
      </c>
      <c r="B36" s="1" t="s">
        <v>95</v>
      </c>
      <c r="C36" s="1" t="s">
        <v>169</v>
      </c>
      <c r="D36">
        <v>63</v>
      </c>
      <c r="E36">
        <v>59</v>
      </c>
      <c r="F36">
        <v>9</v>
      </c>
      <c r="G36">
        <v>1650</v>
      </c>
      <c r="H36" s="1" t="s">
        <v>334</v>
      </c>
      <c r="I36">
        <v>33</v>
      </c>
      <c r="J36">
        <v>1227</v>
      </c>
      <c r="K36">
        <v>134.47</v>
      </c>
      <c r="L36">
        <v>0</v>
      </c>
      <c r="M36">
        <v>13</v>
      </c>
      <c r="N36">
        <v>1</v>
      </c>
      <c r="O36">
        <v>157</v>
      </c>
      <c r="P36">
        <v>72</v>
      </c>
      <c r="Q36" s="1" t="s">
        <v>17</v>
      </c>
    </row>
    <row r="37" spans="1:17" x14ac:dyDescent="0.35">
      <c r="A37" s="1" t="s">
        <v>168</v>
      </c>
      <c r="B37" s="1" t="s">
        <v>162</v>
      </c>
      <c r="C37" s="1" t="s">
        <v>169</v>
      </c>
      <c r="D37">
        <v>60</v>
      </c>
      <c r="E37">
        <v>57</v>
      </c>
      <c r="F37">
        <v>7</v>
      </c>
      <c r="G37">
        <v>1644</v>
      </c>
      <c r="H37" s="1" t="s">
        <v>170</v>
      </c>
      <c r="I37">
        <v>32.880000000000003</v>
      </c>
      <c r="J37">
        <v>1268</v>
      </c>
      <c r="K37">
        <v>129.65</v>
      </c>
      <c r="L37">
        <v>1</v>
      </c>
      <c r="M37">
        <v>8</v>
      </c>
      <c r="N37">
        <v>1</v>
      </c>
      <c r="O37">
        <v>163</v>
      </c>
      <c r="P37">
        <v>52</v>
      </c>
      <c r="Q37" s="1" t="s">
        <v>17</v>
      </c>
    </row>
    <row r="38" spans="1:17" x14ac:dyDescent="0.35">
      <c r="A38" s="1" t="s">
        <v>234</v>
      </c>
      <c r="B38" s="1" t="s">
        <v>111</v>
      </c>
      <c r="C38" s="1" t="s">
        <v>38</v>
      </c>
      <c r="D38">
        <v>68</v>
      </c>
      <c r="E38">
        <v>67</v>
      </c>
      <c r="F38">
        <v>3</v>
      </c>
      <c r="G38">
        <v>1639</v>
      </c>
      <c r="H38" s="1" t="s">
        <v>311</v>
      </c>
      <c r="I38">
        <v>25.6</v>
      </c>
      <c r="J38">
        <v>1360</v>
      </c>
      <c r="K38">
        <v>120.51</v>
      </c>
      <c r="L38">
        <v>0</v>
      </c>
      <c r="M38">
        <v>10</v>
      </c>
      <c r="N38">
        <v>3</v>
      </c>
      <c r="O38">
        <v>152</v>
      </c>
      <c r="P38">
        <v>64</v>
      </c>
      <c r="Q38" s="1" t="s">
        <v>17</v>
      </c>
    </row>
    <row r="39" spans="1:17" x14ac:dyDescent="0.35">
      <c r="A39" s="1" t="s">
        <v>209</v>
      </c>
      <c r="B39" s="1" t="s">
        <v>111</v>
      </c>
      <c r="C39" s="1" t="s">
        <v>34</v>
      </c>
      <c r="D39">
        <v>76</v>
      </c>
      <c r="E39">
        <v>72</v>
      </c>
      <c r="F39">
        <v>13</v>
      </c>
      <c r="G39">
        <v>1637</v>
      </c>
      <c r="H39" s="1" t="s">
        <v>210</v>
      </c>
      <c r="I39">
        <v>27.74</v>
      </c>
      <c r="J39">
        <v>1372</v>
      </c>
      <c r="K39">
        <v>119.31</v>
      </c>
      <c r="L39">
        <v>0</v>
      </c>
      <c r="M39">
        <v>8</v>
      </c>
      <c r="N39">
        <v>1</v>
      </c>
      <c r="O39">
        <v>130</v>
      </c>
      <c r="P39">
        <v>48</v>
      </c>
      <c r="Q39" s="1" t="s">
        <v>17</v>
      </c>
    </row>
    <row r="40" spans="1:17" x14ac:dyDescent="0.35">
      <c r="A40" s="1" t="s">
        <v>148</v>
      </c>
      <c r="B40" s="1" t="s">
        <v>149</v>
      </c>
      <c r="C40" s="1" t="s">
        <v>28</v>
      </c>
      <c r="D40">
        <v>60</v>
      </c>
      <c r="E40">
        <v>59</v>
      </c>
      <c r="F40">
        <v>8</v>
      </c>
      <c r="G40">
        <v>1634</v>
      </c>
      <c r="H40" s="1" t="s">
        <v>150</v>
      </c>
      <c r="I40">
        <v>32.03</v>
      </c>
      <c r="J40">
        <v>1068</v>
      </c>
      <c r="K40">
        <v>152.99</v>
      </c>
      <c r="L40">
        <v>1</v>
      </c>
      <c r="M40">
        <v>14</v>
      </c>
      <c r="N40">
        <v>4</v>
      </c>
      <c r="O40">
        <v>123</v>
      </c>
      <c r="P40">
        <v>95</v>
      </c>
      <c r="Q40" s="1" t="s">
        <v>17</v>
      </c>
    </row>
    <row r="41" spans="1:17" x14ac:dyDescent="0.35">
      <c r="A41" s="1" t="s">
        <v>154</v>
      </c>
      <c r="B41" s="1" t="s">
        <v>88</v>
      </c>
      <c r="C41" s="1" t="s">
        <v>146</v>
      </c>
      <c r="D41">
        <v>98</v>
      </c>
      <c r="E41">
        <v>85</v>
      </c>
      <c r="F41">
        <v>42</v>
      </c>
      <c r="G41">
        <v>1617</v>
      </c>
      <c r="H41" s="1" t="s">
        <v>155</v>
      </c>
      <c r="I41">
        <v>37.6</v>
      </c>
      <c r="J41">
        <v>1282</v>
      </c>
      <c r="K41">
        <v>126.13</v>
      </c>
      <c r="L41">
        <v>0</v>
      </c>
      <c r="M41">
        <v>2</v>
      </c>
      <c r="N41">
        <v>1</v>
      </c>
      <c r="O41">
        <v>116</v>
      </c>
      <c r="P41">
        <v>52</v>
      </c>
      <c r="Q41" s="1" t="s">
        <v>17</v>
      </c>
    </row>
    <row r="42" spans="1:17" x14ac:dyDescent="0.35">
      <c r="A42" s="1" t="s">
        <v>213</v>
      </c>
      <c r="B42" s="1" t="s">
        <v>91</v>
      </c>
      <c r="C42" s="1" t="s">
        <v>34</v>
      </c>
      <c r="D42">
        <v>89</v>
      </c>
      <c r="E42">
        <v>81</v>
      </c>
      <c r="F42">
        <v>15</v>
      </c>
      <c r="G42">
        <v>1612</v>
      </c>
      <c r="H42" s="1" t="s">
        <v>347</v>
      </c>
      <c r="I42">
        <v>24.42</v>
      </c>
      <c r="J42">
        <v>1324</v>
      </c>
      <c r="K42">
        <v>121.75</v>
      </c>
      <c r="L42">
        <v>0</v>
      </c>
      <c r="M42">
        <v>7</v>
      </c>
      <c r="N42">
        <v>5</v>
      </c>
      <c r="O42">
        <v>127</v>
      </c>
      <c r="P42">
        <v>43</v>
      </c>
      <c r="Q42" s="1" t="s">
        <v>17</v>
      </c>
    </row>
    <row r="43" spans="1:17" x14ac:dyDescent="0.35">
      <c r="A43" s="1" t="s">
        <v>156</v>
      </c>
      <c r="B43" s="1" t="s">
        <v>101</v>
      </c>
      <c r="C43" s="1" t="s">
        <v>157</v>
      </c>
      <c r="D43">
        <v>67</v>
      </c>
      <c r="E43">
        <v>65</v>
      </c>
      <c r="F43">
        <v>10</v>
      </c>
      <c r="G43">
        <v>1611</v>
      </c>
      <c r="H43" s="1" t="s">
        <v>158</v>
      </c>
      <c r="I43">
        <v>29.29</v>
      </c>
      <c r="J43">
        <v>1386</v>
      </c>
      <c r="K43">
        <v>116.23</v>
      </c>
      <c r="L43">
        <v>0</v>
      </c>
      <c r="M43">
        <v>10</v>
      </c>
      <c r="N43">
        <v>0</v>
      </c>
      <c r="O43">
        <v>144</v>
      </c>
      <c r="P43">
        <v>69</v>
      </c>
      <c r="Q43" s="1" t="s">
        <v>17</v>
      </c>
    </row>
    <row r="44" spans="1:17" x14ac:dyDescent="0.35">
      <c r="A44" s="1" t="s">
        <v>196</v>
      </c>
      <c r="B44" s="1" t="s">
        <v>104</v>
      </c>
      <c r="C44" s="1" t="s">
        <v>34</v>
      </c>
      <c r="D44">
        <v>77</v>
      </c>
      <c r="E44">
        <v>67</v>
      </c>
      <c r="F44">
        <v>19</v>
      </c>
      <c r="G44">
        <v>1606</v>
      </c>
      <c r="H44" s="1" t="s">
        <v>197</v>
      </c>
      <c r="I44">
        <v>33.450000000000003</v>
      </c>
      <c r="J44">
        <v>1298</v>
      </c>
      <c r="K44">
        <v>123.72</v>
      </c>
      <c r="L44">
        <v>0</v>
      </c>
      <c r="M44">
        <v>5</v>
      </c>
      <c r="N44">
        <v>4</v>
      </c>
      <c r="O44">
        <v>119</v>
      </c>
      <c r="P44">
        <v>69</v>
      </c>
      <c r="Q44" s="1" t="s">
        <v>17</v>
      </c>
    </row>
    <row r="45" spans="1:17" x14ac:dyDescent="0.35">
      <c r="A45" s="1" t="s">
        <v>227</v>
      </c>
      <c r="B45" s="1" t="s">
        <v>228</v>
      </c>
      <c r="C45" s="1" t="s">
        <v>61</v>
      </c>
      <c r="D45">
        <v>72</v>
      </c>
      <c r="E45">
        <v>72</v>
      </c>
      <c r="F45">
        <v>7</v>
      </c>
      <c r="G45">
        <v>1605</v>
      </c>
      <c r="H45" s="1" t="s">
        <v>229</v>
      </c>
      <c r="I45">
        <v>24.69</v>
      </c>
      <c r="J45">
        <v>1331</v>
      </c>
      <c r="K45">
        <v>120.58</v>
      </c>
      <c r="L45">
        <v>0</v>
      </c>
      <c r="M45">
        <v>9</v>
      </c>
      <c r="N45">
        <v>4</v>
      </c>
      <c r="O45">
        <v>174</v>
      </c>
      <c r="P45">
        <v>35</v>
      </c>
      <c r="Q45" s="1" t="s">
        <v>17</v>
      </c>
    </row>
    <row r="46" spans="1:17" x14ac:dyDescent="0.35">
      <c r="A46" s="1" t="s">
        <v>159</v>
      </c>
      <c r="B46" s="1" t="s">
        <v>88</v>
      </c>
      <c r="C46" s="1" t="s">
        <v>160</v>
      </c>
      <c r="D46">
        <v>78</v>
      </c>
      <c r="E46">
        <v>66</v>
      </c>
      <c r="F46">
        <v>11</v>
      </c>
      <c r="G46">
        <v>1605</v>
      </c>
      <c r="H46" s="1" t="s">
        <v>69</v>
      </c>
      <c r="I46">
        <v>29.18</v>
      </c>
      <c r="J46">
        <v>1190</v>
      </c>
      <c r="K46">
        <v>134.87</v>
      </c>
      <c r="L46">
        <v>1</v>
      </c>
      <c r="M46">
        <v>5</v>
      </c>
      <c r="N46">
        <v>3</v>
      </c>
      <c r="O46">
        <v>145</v>
      </c>
      <c r="P46">
        <v>58</v>
      </c>
      <c r="Q46" s="1" t="s">
        <v>17</v>
      </c>
    </row>
    <row r="47" spans="1:17" x14ac:dyDescent="0.35">
      <c r="A47" s="1" t="s">
        <v>581</v>
      </c>
      <c r="B47" s="1" t="s">
        <v>100</v>
      </c>
      <c r="C47" s="1" t="s">
        <v>317</v>
      </c>
      <c r="D47">
        <v>52</v>
      </c>
      <c r="E47">
        <v>52</v>
      </c>
      <c r="F47">
        <v>2</v>
      </c>
      <c r="G47">
        <v>1596</v>
      </c>
      <c r="H47" s="1" t="s">
        <v>437</v>
      </c>
      <c r="I47">
        <v>31.92</v>
      </c>
      <c r="J47">
        <v>1097</v>
      </c>
      <c r="K47">
        <v>145.47999999999999</v>
      </c>
      <c r="L47">
        <v>1</v>
      </c>
      <c r="M47">
        <v>9</v>
      </c>
      <c r="N47">
        <v>3</v>
      </c>
      <c r="O47">
        <v>183</v>
      </c>
      <c r="P47">
        <v>51</v>
      </c>
      <c r="Q47" s="1" t="s">
        <v>17</v>
      </c>
    </row>
    <row r="48" spans="1:17" x14ac:dyDescent="0.35">
      <c r="A48" s="1" t="s">
        <v>283</v>
      </c>
      <c r="B48" s="1" t="s">
        <v>284</v>
      </c>
      <c r="C48" s="1" t="s">
        <v>34</v>
      </c>
      <c r="D48">
        <v>68</v>
      </c>
      <c r="E48">
        <v>58</v>
      </c>
      <c r="F48">
        <v>14</v>
      </c>
      <c r="G48">
        <v>1596</v>
      </c>
      <c r="H48" s="1" t="s">
        <v>236</v>
      </c>
      <c r="I48">
        <v>36.270000000000003</v>
      </c>
      <c r="J48">
        <v>945</v>
      </c>
      <c r="K48">
        <v>168.88</v>
      </c>
      <c r="L48">
        <v>1</v>
      </c>
      <c r="M48">
        <v>9</v>
      </c>
      <c r="N48">
        <v>4</v>
      </c>
      <c r="O48">
        <v>126</v>
      </c>
      <c r="P48">
        <v>101</v>
      </c>
      <c r="Q48" s="1" t="s">
        <v>17</v>
      </c>
    </row>
    <row r="49" spans="1:17" x14ac:dyDescent="0.35">
      <c r="A49" s="1" t="s">
        <v>165</v>
      </c>
      <c r="B49" s="1" t="s">
        <v>101</v>
      </c>
      <c r="C49" s="1" t="s">
        <v>166</v>
      </c>
      <c r="D49">
        <v>101</v>
      </c>
      <c r="E49">
        <v>83</v>
      </c>
      <c r="F49">
        <v>21</v>
      </c>
      <c r="G49">
        <v>1569</v>
      </c>
      <c r="H49" s="1" t="s">
        <v>167</v>
      </c>
      <c r="I49">
        <v>25.3</v>
      </c>
      <c r="J49">
        <v>1161</v>
      </c>
      <c r="K49">
        <v>135.13999999999999</v>
      </c>
      <c r="L49">
        <v>0</v>
      </c>
      <c r="M49">
        <v>6</v>
      </c>
      <c r="N49">
        <v>3</v>
      </c>
      <c r="O49">
        <v>94</v>
      </c>
      <c r="P49">
        <v>99</v>
      </c>
      <c r="Q49" s="1" t="s">
        <v>17</v>
      </c>
    </row>
    <row r="50" spans="1:17" x14ac:dyDescent="0.35">
      <c r="A50" s="1" t="s">
        <v>318</v>
      </c>
      <c r="B50" s="1" t="s">
        <v>103</v>
      </c>
      <c r="C50" s="1" t="s">
        <v>34</v>
      </c>
      <c r="D50">
        <v>58</v>
      </c>
      <c r="E50">
        <v>58</v>
      </c>
      <c r="F50">
        <v>7</v>
      </c>
      <c r="G50">
        <v>1558</v>
      </c>
      <c r="H50" s="1" t="s">
        <v>190</v>
      </c>
      <c r="I50">
        <v>30.54</v>
      </c>
      <c r="J50">
        <v>1405</v>
      </c>
      <c r="K50">
        <v>110.88</v>
      </c>
      <c r="L50">
        <v>0</v>
      </c>
      <c r="M50">
        <v>13</v>
      </c>
      <c r="N50">
        <v>1</v>
      </c>
      <c r="O50">
        <v>141</v>
      </c>
      <c r="P50">
        <v>35</v>
      </c>
      <c r="Q50" s="1" t="s">
        <v>17</v>
      </c>
    </row>
    <row r="51" spans="1:17" x14ac:dyDescent="0.35">
      <c r="A51" s="1" t="s">
        <v>294</v>
      </c>
      <c r="B51" s="1" t="s">
        <v>90</v>
      </c>
      <c r="C51" s="1" t="s">
        <v>177</v>
      </c>
      <c r="D51">
        <v>50</v>
      </c>
      <c r="E51">
        <v>46</v>
      </c>
      <c r="F51">
        <v>6</v>
      </c>
      <c r="G51">
        <v>1540</v>
      </c>
      <c r="H51" s="1" t="s">
        <v>508</v>
      </c>
      <c r="I51">
        <v>38.5</v>
      </c>
      <c r="J51">
        <v>916</v>
      </c>
      <c r="K51">
        <v>168.12</v>
      </c>
      <c r="L51">
        <v>4</v>
      </c>
      <c r="M51">
        <v>7</v>
      </c>
      <c r="N51">
        <v>5</v>
      </c>
      <c r="O51">
        <v>154</v>
      </c>
      <c r="P51">
        <v>75</v>
      </c>
      <c r="Q51" s="1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0B705-8157-4BC2-AA33-D5757547A1E0}">
  <sheetPr codeName="Sheet3"/>
  <dimension ref="A1:Q51"/>
  <sheetViews>
    <sheetView workbookViewId="0">
      <selection sqref="A1:Q51"/>
    </sheetView>
  </sheetViews>
  <sheetFormatPr defaultRowHeight="14.5" x14ac:dyDescent="0.35"/>
  <cols>
    <col min="1" max="1" width="17.6328125" bestFit="1" customWidth="1"/>
    <col min="2" max="2" width="9.81640625" bestFit="1" customWidth="1"/>
    <col min="3" max="3" width="9.453125" bestFit="1" customWidth="1"/>
    <col min="4" max="4" width="6.54296875" bestFit="1" customWidth="1"/>
    <col min="5" max="5" width="6.6328125" bestFit="1" customWidth="1"/>
    <col min="6" max="6" width="5.7265625" bestFit="1" customWidth="1"/>
    <col min="7" max="7" width="7.1796875" bestFit="1" customWidth="1"/>
    <col min="8" max="8" width="5.26953125" bestFit="1" customWidth="1"/>
    <col min="9" max="9" width="6.1796875" bestFit="1" customWidth="1"/>
    <col min="10" max="10" width="5.08984375" bestFit="1" customWidth="1"/>
    <col min="11" max="11" width="6.81640625" bestFit="1" customWidth="1"/>
    <col min="12" max="12" width="6.08984375" bestFit="1" customWidth="1"/>
    <col min="13" max="13" width="5.08984375" bestFit="1" customWidth="1"/>
    <col min="14" max="14" width="4.08984375" bestFit="1" customWidth="1"/>
    <col min="15" max="16" width="4.90625" bestFit="1" customWidth="1"/>
    <col min="17" max="17" width="10.54296875" bestFit="1" customWidth="1"/>
  </cols>
  <sheetData>
    <row r="1" spans="1:17" x14ac:dyDescent="0.35">
      <c r="A1" t="s">
        <v>86</v>
      </c>
      <c r="B1" t="s">
        <v>87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35">
      <c r="A2" s="1" t="s">
        <v>298</v>
      </c>
      <c r="B2" s="1" t="s">
        <v>225</v>
      </c>
      <c r="C2" s="1" t="s">
        <v>177</v>
      </c>
      <c r="D2">
        <v>64</v>
      </c>
      <c r="E2">
        <v>59</v>
      </c>
      <c r="F2">
        <v>24</v>
      </c>
      <c r="G2">
        <v>1533</v>
      </c>
      <c r="H2" s="1" t="s">
        <v>266</v>
      </c>
      <c r="I2">
        <v>43.8</v>
      </c>
      <c r="J2">
        <v>1258</v>
      </c>
      <c r="K2">
        <v>121.86</v>
      </c>
      <c r="L2">
        <v>0</v>
      </c>
      <c r="M2">
        <v>11</v>
      </c>
      <c r="N2">
        <v>4</v>
      </c>
      <c r="O2">
        <v>102</v>
      </c>
      <c r="P2">
        <v>63</v>
      </c>
      <c r="Q2" s="1" t="s">
        <v>17</v>
      </c>
    </row>
    <row r="3" spans="1:17" x14ac:dyDescent="0.35">
      <c r="A3" s="1" t="s">
        <v>179</v>
      </c>
      <c r="B3" s="1" t="s">
        <v>180</v>
      </c>
      <c r="C3" s="1" t="s">
        <v>132</v>
      </c>
      <c r="D3">
        <v>50</v>
      </c>
      <c r="E3">
        <v>50</v>
      </c>
      <c r="F3">
        <v>7</v>
      </c>
      <c r="G3">
        <v>1528</v>
      </c>
      <c r="H3" s="1" t="s">
        <v>181</v>
      </c>
      <c r="I3">
        <v>35.53</v>
      </c>
      <c r="J3">
        <v>1137</v>
      </c>
      <c r="K3">
        <v>134.38</v>
      </c>
      <c r="L3">
        <v>1</v>
      </c>
      <c r="M3">
        <v>10</v>
      </c>
      <c r="N3">
        <v>0</v>
      </c>
      <c r="O3">
        <v>140</v>
      </c>
      <c r="P3">
        <v>50</v>
      </c>
      <c r="Q3" s="1" t="s">
        <v>17</v>
      </c>
    </row>
    <row r="4" spans="1:17" x14ac:dyDescent="0.35">
      <c r="A4" s="1" t="s">
        <v>182</v>
      </c>
      <c r="B4" s="1" t="s">
        <v>101</v>
      </c>
      <c r="C4" s="1" t="s">
        <v>183</v>
      </c>
      <c r="D4">
        <v>68</v>
      </c>
      <c r="E4">
        <v>67</v>
      </c>
      <c r="F4">
        <v>10</v>
      </c>
      <c r="G4">
        <v>1527</v>
      </c>
      <c r="H4" s="1" t="s">
        <v>184</v>
      </c>
      <c r="I4">
        <v>26.78</v>
      </c>
      <c r="J4">
        <v>1264</v>
      </c>
      <c r="K4">
        <v>120.8</v>
      </c>
      <c r="L4">
        <v>0</v>
      </c>
      <c r="M4">
        <v>9</v>
      </c>
      <c r="N4">
        <v>6</v>
      </c>
      <c r="O4">
        <v>140</v>
      </c>
      <c r="P4">
        <v>68</v>
      </c>
      <c r="Q4" s="1" t="s">
        <v>17</v>
      </c>
    </row>
    <row r="5" spans="1:17" x14ac:dyDescent="0.35">
      <c r="A5" s="1" t="s">
        <v>185</v>
      </c>
      <c r="B5" s="1" t="s">
        <v>90</v>
      </c>
      <c r="C5" s="1" t="s">
        <v>186</v>
      </c>
      <c r="D5">
        <v>64</v>
      </c>
      <c r="E5">
        <v>64</v>
      </c>
      <c r="F5">
        <v>1</v>
      </c>
      <c r="G5">
        <v>1522</v>
      </c>
      <c r="H5" s="1" t="s">
        <v>187</v>
      </c>
      <c r="I5">
        <v>24.15</v>
      </c>
      <c r="J5">
        <v>1106</v>
      </c>
      <c r="K5">
        <v>137.61000000000001</v>
      </c>
      <c r="L5">
        <v>0</v>
      </c>
      <c r="M5">
        <v>8</v>
      </c>
      <c r="N5">
        <v>7</v>
      </c>
      <c r="O5">
        <v>153</v>
      </c>
      <c r="P5">
        <v>69</v>
      </c>
      <c r="Q5" s="1" t="s">
        <v>17</v>
      </c>
    </row>
    <row r="6" spans="1:17" x14ac:dyDescent="0.35">
      <c r="A6" s="1" t="s">
        <v>188</v>
      </c>
      <c r="B6" s="1" t="s">
        <v>98</v>
      </c>
      <c r="C6" s="1" t="s">
        <v>189</v>
      </c>
      <c r="D6">
        <v>102</v>
      </c>
      <c r="E6">
        <v>93</v>
      </c>
      <c r="F6">
        <v>16</v>
      </c>
      <c r="G6">
        <v>1500</v>
      </c>
      <c r="H6" s="1" t="s">
        <v>190</v>
      </c>
      <c r="I6">
        <v>19.48</v>
      </c>
      <c r="J6">
        <v>1304</v>
      </c>
      <c r="K6">
        <v>115.03</v>
      </c>
      <c r="L6">
        <v>0</v>
      </c>
      <c r="M6">
        <v>6</v>
      </c>
      <c r="N6">
        <v>8</v>
      </c>
      <c r="O6">
        <v>126</v>
      </c>
      <c r="P6">
        <v>37</v>
      </c>
      <c r="Q6" s="1" t="s">
        <v>17</v>
      </c>
    </row>
    <row r="7" spans="1:17" x14ac:dyDescent="0.35">
      <c r="A7" s="1" t="s">
        <v>193</v>
      </c>
      <c r="B7" s="1" t="s">
        <v>102</v>
      </c>
      <c r="C7" s="1" t="s">
        <v>72</v>
      </c>
      <c r="D7">
        <v>70</v>
      </c>
      <c r="E7">
        <v>68</v>
      </c>
      <c r="F7">
        <v>2</v>
      </c>
      <c r="G7">
        <v>1495</v>
      </c>
      <c r="H7" s="1" t="s">
        <v>60</v>
      </c>
      <c r="I7">
        <v>22.65</v>
      </c>
      <c r="J7">
        <v>1254</v>
      </c>
      <c r="K7">
        <v>119.21</v>
      </c>
      <c r="L7">
        <v>0</v>
      </c>
      <c r="M7">
        <v>6</v>
      </c>
      <c r="N7">
        <v>4</v>
      </c>
      <c r="O7">
        <v>158</v>
      </c>
      <c r="P7">
        <v>48</v>
      </c>
      <c r="Q7" s="1" t="s">
        <v>17</v>
      </c>
    </row>
    <row r="8" spans="1:17" x14ac:dyDescent="0.35">
      <c r="A8" s="1" t="s">
        <v>194</v>
      </c>
      <c r="B8" s="1" t="s">
        <v>108</v>
      </c>
      <c r="C8" s="1" t="s">
        <v>195</v>
      </c>
      <c r="D8">
        <v>55</v>
      </c>
      <c r="E8">
        <v>55</v>
      </c>
      <c r="F8">
        <v>8</v>
      </c>
      <c r="G8">
        <v>1493</v>
      </c>
      <c r="H8" s="1" t="s">
        <v>9</v>
      </c>
      <c r="I8">
        <v>31.76</v>
      </c>
      <c r="J8">
        <v>1121</v>
      </c>
      <c r="K8">
        <v>133.18</v>
      </c>
      <c r="L8">
        <v>1</v>
      </c>
      <c r="M8">
        <v>9</v>
      </c>
      <c r="N8">
        <v>4</v>
      </c>
      <c r="O8">
        <v>173</v>
      </c>
      <c r="P8">
        <v>33</v>
      </c>
      <c r="Q8" s="1" t="s">
        <v>17</v>
      </c>
    </row>
    <row r="9" spans="1:17" x14ac:dyDescent="0.35">
      <c r="A9" s="1" t="s">
        <v>413</v>
      </c>
      <c r="B9" s="1" t="s">
        <v>274</v>
      </c>
      <c r="C9" s="1" t="s">
        <v>34</v>
      </c>
      <c r="D9">
        <v>50</v>
      </c>
      <c r="E9">
        <v>48</v>
      </c>
      <c r="F9">
        <v>6</v>
      </c>
      <c r="G9">
        <v>1485</v>
      </c>
      <c r="H9" s="1" t="s">
        <v>200</v>
      </c>
      <c r="I9">
        <v>35.35</v>
      </c>
      <c r="J9">
        <v>921</v>
      </c>
      <c r="K9">
        <v>161.22999999999999</v>
      </c>
      <c r="L9">
        <v>1</v>
      </c>
      <c r="M9">
        <v>11</v>
      </c>
      <c r="N9">
        <v>2</v>
      </c>
      <c r="O9">
        <v>149</v>
      </c>
      <c r="P9">
        <v>86</v>
      </c>
      <c r="Q9" s="1" t="s">
        <v>17</v>
      </c>
    </row>
    <row r="10" spans="1:17" x14ac:dyDescent="0.35">
      <c r="A10" s="1" t="s">
        <v>238</v>
      </c>
      <c r="B10" s="1" t="s">
        <v>91</v>
      </c>
      <c r="C10" s="1" t="s">
        <v>78</v>
      </c>
      <c r="D10">
        <v>82</v>
      </c>
      <c r="E10">
        <v>76</v>
      </c>
      <c r="F10">
        <v>8</v>
      </c>
      <c r="G10">
        <v>1479</v>
      </c>
      <c r="H10" s="1" t="s">
        <v>239</v>
      </c>
      <c r="I10">
        <v>21.75</v>
      </c>
      <c r="J10">
        <v>1199</v>
      </c>
      <c r="K10">
        <v>123.35</v>
      </c>
      <c r="L10">
        <v>0</v>
      </c>
      <c r="M10">
        <v>10</v>
      </c>
      <c r="N10">
        <v>7</v>
      </c>
      <c r="O10">
        <v>140</v>
      </c>
      <c r="P10">
        <v>35</v>
      </c>
      <c r="Q10" s="1" t="s">
        <v>17</v>
      </c>
    </row>
    <row r="11" spans="1:17" x14ac:dyDescent="0.35">
      <c r="A11" s="1" t="s">
        <v>199</v>
      </c>
      <c r="B11" s="1" t="s">
        <v>89</v>
      </c>
      <c r="C11" s="1" t="s">
        <v>137</v>
      </c>
      <c r="D11">
        <v>59</v>
      </c>
      <c r="E11">
        <v>59</v>
      </c>
      <c r="F11">
        <v>2</v>
      </c>
      <c r="G11">
        <v>1471</v>
      </c>
      <c r="H11" s="1" t="s">
        <v>200</v>
      </c>
      <c r="I11">
        <v>25.8</v>
      </c>
      <c r="J11">
        <v>1282</v>
      </c>
      <c r="K11">
        <v>114.74</v>
      </c>
      <c r="L11">
        <v>1</v>
      </c>
      <c r="M11">
        <v>7</v>
      </c>
      <c r="N11">
        <v>2</v>
      </c>
      <c r="O11">
        <v>157</v>
      </c>
      <c r="P11">
        <v>33</v>
      </c>
      <c r="Q11" s="1" t="s">
        <v>17</v>
      </c>
    </row>
    <row r="12" spans="1:17" x14ac:dyDescent="0.35">
      <c r="A12" s="1" t="s">
        <v>214</v>
      </c>
      <c r="B12" s="1" t="s">
        <v>101</v>
      </c>
      <c r="C12" s="1" t="s">
        <v>22</v>
      </c>
      <c r="D12">
        <v>64</v>
      </c>
      <c r="E12">
        <v>63</v>
      </c>
      <c r="F12">
        <v>0</v>
      </c>
      <c r="G12">
        <v>1468</v>
      </c>
      <c r="H12" s="1" t="s">
        <v>215</v>
      </c>
      <c r="I12">
        <v>23.3</v>
      </c>
      <c r="J12">
        <v>1136</v>
      </c>
      <c r="K12">
        <v>129.22</v>
      </c>
      <c r="L12">
        <v>1</v>
      </c>
      <c r="M12">
        <v>5</v>
      </c>
      <c r="N12">
        <v>7</v>
      </c>
      <c r="O12">
        <v>157</v>
      </c>
      <c r="P12">
        <v>69</v>
      </c>
      <c r="Q12" s="1" t="s">
        <v>17</v>
      </c>
    </row>
    <row r="13" spans="1:17" x14ac:dyDescent="0.35">
      <c r="A13" s="1" t="s">
        <v>237</v>
      </c>
      <c r="B13" s="1" t="s">
        <v>97</v>
      </c>
      <c r="C13" s="1" t="s">
        <v>34</v>
      </c>
      <c r="D13">
        <v>62</v>
      </c>
      <c r="E13">
        <v>58</v>
      </c>
      <c r="F13">
        <v>8</v>
      </c>
      <c r="G13">
        <v>1467</v>
      </c>
      <c r="H13" s="1" t="s">
        <v>208</v>
      </c>
      <c r="I13">
        <v>29.34</v>
      </c>
      <c r="J13">
        <v>1006</v>
      </c>
      <c r="K13">
        <v>145.82</v>
      </c>
      <c r="L13">
        <v>0</v>
      </c>
      <c r="M13">
        <v>9</v>
      </c>
      <c r="N13">
        <v>2</v>
      </c>
      <c r="O13">
        <v>132</v>
      </c>
      <c r="P13">
        <v>63</v>
      </c>
      <c r="Q13" s="1" t="s">
        <v>17</v>
      </c>
    </row>
    <row r="14" spans="1:17" x14ac:dyDescent="0.35">
      <c r="A14" s="1" t="s">
        <v>201</v>
      </c>
      <c r="B14" s="1" t="s">
        <v>98</v>
      </c>
      <c r="C14" s="1" t="s">
        <v>28</v>
      </c>
      <c r="D14">
        <v>87</v>
      </c>
      <c r="E14">
        <v>86</v>
      </c>
      <c r="F14">
        <v>4</v>
      </c>
      <c r="G14">
        <v>1462</v>
      </c>
      <c r="H14" s="1" t="s">
        <v>202</v>
      </c>
      <c r="I14">
        <v>17.82</v>
      </c>
      <c r="J14">
        <v>1197</v>
      </c>
      <c r="K14">
        <v>122.13</v>
      </c>
      <c r="L14">
        <v>0</v>
      </c>
      <c r="M14">
        <v>5</v>
      </c>
      <c r="N14">
        <v>13</v>
      </c>
      <c r="O14">
        <v>145</v>
      </c>
      <c r="P14">
        <v>55</v>
      </c>
      <c r="Q14" s="1" t="s">
        <v>17</v>
      </c>
    </row>
    <row r="15" spans="1:17" x14ac:dyDescent="0.35">
      <c r="A15" s="1" t="s">
        <v>203</v>
      </c>
      <c r="B15" s="1" t="s">
        <v>93</v>
      </c>
      <c r="C15" s="1" t="s">
        <v>84</v>
      </c>
      <c r="D15">
        <v>58</v>
      </c>
      <c r="E15">
        <v>56</v>
      </c>
      <c r="F15">
        <v>6</v>
      </c>
      <c r="G15">
        <v>1462</v>
      </c>
      <c r="H15" s="1" t="s">
        <v>204</v>
      </c>
      <c r="I15">
        <v>29.24</v>
      </c>
      <c r="J15">
        <v>1006</v>
      </c>
      <c r="K15">
        <v>145.32</v>
      </c>
      <c r="L15">
        <v>1</v>
      </c>
      <c r="M15">
        <v>10</v>
      </c>
      <c r="N15">
        <v>3</v>
      </c>
      <c r="O15">
        <v>115</v>
      </c>
      <c r="P15">
        <v>83</v>
      </c>
      <c r="Q15" s="1" t="s">
        <v>17</v>
      </c>
    </row>
    <row r="16" spans="1:17" x14ac:dyDescent="0.35">
      <c r="A16" s="1" t="s">
        <v>207</v>
      </c>
      <c r="B16" s="1" t="s">
        <v>100</v>
      </c>
      <c r="C16" s="1" t="s">
        <v>20</v>
      </c>
      <c r="D16">
        <v>71</v>
      </c>
      <c r="E16">
        <v>70</v>
      </c>
      <c r="F16">
        <v>4</v>
      </c>
      <c r="G16">
        <v>1449</v>
      </c>
      <c r="H16" s="1" t="s">
        <v>208</v>
      </c>
      <c r="I16">
        <v>21.95</v>
      </c>
      <c r="J16">
        <v>1370</v>
      </c>
      <c r="K16">
        <v>105.76</v>
      </c>
      <c r="L16">
        <v>0</v>
      </c>
      <c r="M16">
        <v>9</v>
      </c>
      <c r="N16">
        <v>5</v>
      </c>
      <c r="O16">
        <v>143</v>
      </c>
      <c r="P16">
        <v>30</v>
      </c>
      <c r="Q16" s="1" t="s">
        <v>17</v>
      </c>
    </row>
    <row r="17" spans="1:17" x14ac:dyDescent="0.35">
      <c r="A17" s="1" t="s">
        <v>211</v>
      </c>
      <c r="B17" s="1" t="s">
        <v>212</v>
      </c>
      <c r="C17" s="1" t="s">
        <v>169</v>
      </c>
      <c r="D17">
        <v>66</v>
      </c>
      <c r="E17">
        <v>63</v>
      </c>
      <c r="F17">
        <v>8</v>
      </c>
      <c r="G17">
        <v>1445</v>
      </c>
      <c r="H17" s="1" t="s">
        <v>29</v>
      </c>
      <c r="I17">
        <v>26.27</v>
      </c>
      <c r="J17">
        <v>995</v>
      </c>
      <c r="K17">
        <v>145.22</v>
      </c>
      <c r="L17">
        <v>1</v>
      </c>
      <c r="M17">
        <v>9</v>
      </c>
      <c r="N17">
        <v>3</v>
      </c>
      <c r="O17">
        <v>100</v>
      </c>
      <c r="P17">
        <v>90</v>
      </c>
      <c r="Q17" s="1" t="s">
        <v>17</v>
      </c>
    </row>
    <row r="18" spans="1:17" x14ac:dyDescent="0.35">
      <c r="A18" s="1" t="s">
        <v>288</v>
      </c>
      <c r="B18" s="1" t="s">
        <v>289</v>
      </c>
      <c r="C18" s="1" t="s">
        <v>34</v>
      </c>
      <c r="D18">
        <v>52</v>
      </c>
      <c r="E18">
        <v>48</v>
      </c>
      <c r="F18">
        <v>6</v>
      </c>
      <c r="G18">
        <v>1436</v>
      </c>
      <c r="H18" s="1" t="s">
        <v>48</v>
      </c>
      <c r="I18">
        <v>34.19</v>
      </c>
      <c r="J18">
        <v>944</v>
      </c>
      <c r="K18">
        <v>152.11000000000001</v>
      </c>
      <c r="L18">
        <v>0</v>
      </c>
      <c r="M18">
        <v>10</v>
      </c>
      <c r="N18">
        <v>6</v>
      </c>
      <c r="O18">
        <v>146</v>
      </c>
      <c r="P18">
        <v>72</v>
      </c>
      <c r="Q18" s="1" t="s">
        <v>17</v>
      </c>
    </row>
    <row r="19" spans="1:17" x14ac:dyDescent="0.35">
      <c r="A19" s="1" t="s">
        <v>216</v>
      </c>
      <c r="B19" s="1" t="s">
        <v>217</v>
      </c>
      <c r="C19" s="1" t="s">
        <v>38</v>
      </c>
      <c r="D19">
        <v>64</v>
      </c>
      <c r="E19">
        <v>63</v>
      </c>
      <c r="F19">
        <v>4</v>
      </c>
      <c r="G19">
        <v>1429</v>
      </c>
      <c r="H19" s="1" t="s">
        <v>65</v>
      </c>
      <c r="I19">
        <v>24.22</v>
      </c>
      <c r="J19">
        <v>968</v>
      </c>
      <c r="K19">
        <v>147.62</v>
      </c>
      <c r="L19">
        <v>0</v>
      </c>
      <c r="M19">
        <v>7</v>
      </c>
      <c r="N19">
        <v>6</v>
      </c>
      <c r="O19">
        <v>158</v>
      </c>
      <c r="P19">
        <v>78</v>
      </c>
      <c r="Q19" s="1" t="s">
        <v>17</v>
      </c>
    </row>
    <row r="20" spans="1:17" x14ac:dyDescent="0.35">
      <c r="A20" s="1" t="s">
        <v>241</v>
      </c>
      <c r="B20" s="1" t="s">
        <v>242</v>
      </c>
      <c r="C20" s="1" t="s">
        <v>34</v>
      </c>
      <c r="D20">
        <v>56</v>
      </c>
      <c r="E20">
        <v>56</v>
      </c>
      <c r="F20">
        <v>10</v>
      </c>
      <c r="G20">
        <v>1419</v>
      </c>
      <c r="H20" s="1" t="s">
        <v>75</v>
      </c>
      <c r="I20">
        <v>30.84</v>
      </c>
      <c r="J20">
        <v>1028</v>
      </c>
      <c r="K20">
        <v>138.03</v>
      </c>
      <c r="L20">
        <v>0</v>
      </c>
      <c r="M20">
        <v>7</v>
      </c>
      <c r="N20">
        <v>5</v>
      </c>
      <c r="O20">
        <v>116</v>
      </c>
      <c r="P20">
        <v>54</v>
      </c>
      <c r="Q20" s="1" t="s">
        <v>17</v>
      </c>
    </row>
    <row r="21" spans="1:17" x14ac:dyDescent="0.35">
      <c r="A21" s="1" t="s">
        <v>218</v>
      </c>
      <c r="B21" s="1" t="s">
        <v>108</v>
      </c>
      <c r="C21" s="1" t="s">
        <v>30</v>
      </c>
      <c r="D21">
        <v>90</v>
      </c>
      <c r="E21">
        <v>73</v>
      </c>
      <c r="F21">
        <v>22</v>
      </c>
      <c r="G21">
        <v>1416</v>
      </c>
      <c r="H21" s="1" t="s">
        <v>219</v>
      </c>
      <c r="I21">
        <v>27.76</v>
      </c>
      <c r="J21">
        <v>1175</v>
      </c>
      <c r="K21">
        <v>120.51</v>
      </c>
      <c r="L21">
        <v>0</v>
      </c>
      <c r="M21">
        <v>6</v>
      </c>
      <c r="N21">
        <v>1</v>
      </c>
      <c r="O21">
        <v>92</v>
      </c>
      <c r="P21">
        <v>50</v>
      </c>
      <c r="Q21" s="1" t="s">
        <v>17</v>
      </c>
    </row>
    <row r="22" spans="1:17" x14ac:dyDescent="0.35">
      <c r="A22" s="1" t="s">
        <v>220</v>
      </c>
      <c r="B22" s="1" t="s">
        <v>99</v>
      </c>
      <c r="C22" s="1" t="s">
        <v>160</v>
      </c>
      <c r="D22">
        <v>99</v>
      </c>
      <c r="E22">
        <v>91</v>
      </c>
      <c r="F22">
        <v>12</v>
      </c>
      <c r="G22">
        <v>1416</v>
      </c>
      <c r="H22" s="1" t="s">
        <v>221</v>
      </c>
      <c r="I22">
        <v>17.920000000000002</v>
      </c>
      <c r="J22">
        <v>944</v>
      </c>
      <c r="K22">
        <v>150</v>
      </c>
      <c r="L22">
        <v>0</v>
      </c>
      <c r="M22">
        <v>4</v>
      </c>
      <c r="N22">
        <v>8</v>
      </c>
      <c r="O22">
        <v>103</v>
      </c>
      <c r="P22">
        <v>73</v>
      </c>
      <c r="Q22" s="1" t="s">
        <v>17</v>
      </c>
    </row>
    <row r="23" spans="1:17" x14ac:dyDescent="0.35">
      <c r="A23" s="1" t="s">
        <v>502</v>
      </c>
      <c r="B23" s="1" t="s">
        <v>225</v>
      </c>
      <c r="C23" s="1" t="s">
        <v>34</v>
      </c>
      <c r="D23">
        <v>55</v>
      </c>
      <c r="E23">
        <v>52</v>
      </c>
      <c r="F23">
        <v>15</v>
      </c>
      <c r="G23">
        <v>1409</v>
      </c>
      <c r="H23" s="1" t="s">
        <v>144</v>
      </c>
      <c r="I23">
        <v>38.08</v>
      </c>
      <c r="J23">
        <v>1100</v>
      </c>
      <c r="K23">
        <v>128.09</v>
      </c>
      <c r="L23">
        <v>1</v>
      </c>
      <c r="M23">
        <v>8</v>
      </c>
      <c r="N23">
        <v>6</v>
      </c>
      <c r="O23">
        <v>85</v>
      </c>
      <c r="P23">
        <v>80</v>
      </c>
      <c r="Q23" s="1" t="s">
        <v>17</v>
      </c>
    </row>
    <row r="24" spans="1:17" x14ac:dyDescent="0.35">
      <c r="A24" s="1" t="s">
        <v>224</v>
      </c>
      <c r="B24" s="1" t="s">
        <v>225</v>
      </c>
      <c r="C24" s="1" t="s">
        <v>63</v>
      </c>
      <c r="D24">
        <v>63</v>
      </c>
      <c r="E24">
        <v>59</v>
      </c>
      <c r="F24">
        <v>14</v>
      </c>
      <c r="G24">
        <v>1408</v>
      </c>
      <c r="H24" s="1" t="s">
        <v>141</v>
      </c>
      <c r="I24">
        <v>31.28</v>
      </c>
      <c r="J24">
        <v>1161</v>
      </c>
      <c r="K24">
        <v>121.27</v>
      </c>
      <c r="L24">
        <v>0</v>
      </c>
      <c r="M24">
        <v>8</v>
      </c>
      <c r="N24">
        <v>2</v>
      </c>
      <c r="O24">
        <v>92</v>
      </c>
      <c r="P24">
        <v>62</v>
      </c>
      <c r="Q24" s="1" t="s">
        <v>17</v>
      </c>
    </row>
    <row r="25" spans="1:17" x14ac:dyDescent="0.35">
      <c r="A25" s="1" t="s">
        <v>260</v>
      </c>
      <c r="B25" s="1" t="s">
        <v>97</v>
      </c>
      <c r="C25" s="1" t="s">
        <v>112</v>
      </c>
      <c r="D25">
        <v>57</v>
      </c>
      <c r="E25">
        <v>53</v>
      </c>
      <c r="F25">
        <v>11</v>
      </c>
      <c r="G25">
        <v>1406</v>
      </c>
      <c r="H25" s="1" t="s">
        <v>239</v>
      </c>
      <c r="I25">
        <v>33.47</v>
      </c>
      <c r="J25">
        <v>1092</v>
      </c>
      <c r="K25">
        <v>128.75</v>
      </c>
      <c r="L25">
        <v>0</v>
      </c>
      <c r="M25">
        <v>10</v>
      </c>
      <c r="N25">
        <v>2</v>
      </c>
      <c r="O25">
        <v>89</v>
      </c>
      <c r="P25">
        <v>62</v>
      </c>
      <c r="Q25" s="1" t="s">
        <v>17</v>
      </c>
    </row>
    <row r="26" spans="1:17" x14ac:dyDescent="0.35">
      <c r="A26" s="1" t="s">
        <v>367</v>
      </c>
      <c r="B26" s="1" t="s">
        <v>101</v>
      </c>
      <c r="C26" s="1" t="s">
        <v>76</v>
      </c>
      <c r="D26">
        <v>58</v>
      </c>
      <c r="E26">
        <v>56</v>
      </c>
      <c r="F26">
        <v>8</v>
      </c>
      <c r="G26">
        <v>1403</v>
      </c>
      <c r="H26" s="1" t="s">
        <v>236</v>
      </c>
      <c r="I26">
        <v>29.22</v>
      </c>
      <c r="J26">
        <v>1019</v>
      </c>
      <c r="K26">
        <v>137.68</v>
      </c>
      <c r="L26">
        <v>1</v>
      </c>
      <c r="M26">
        <v>9</v>
      </c>
      <c r="N26">
        <v>3</v>
      </c>
      <c r="O26">
        <v>107</v>
      </c>
      <c r="P26">
        <v>76</v>
      </c>
      <c r="Q26" s="1" t="s">
        <v>17</v>
      </c>
    </row>
    <row r="27" spans="1:17" x14ac:dyDescent="0.35">
      <c r="A27" s="1" t="s">
        <v>262</v>
      </c>
      <c r="B27" s="1" t="s">
        <v>217</v>
      </c>
      <c r="C27" s="1" t="s">
        <v>38</v>
      </c>
      <c r="D27">
        <v>57</v>
      </c>
      <c r="E27">
        <v>57</v>
      </c>
      <c r="F27">
        <v>5</v>
      </c>
      <c r="G27">
        <v>1387</v>
      </c>
      <c r="H27" s="1" t="s">
        <v>263</v>
      </c>
      <c r="I27">
        <v>26.67</v>
      </c>
      <c r="J27">
        <v>1128</v>
      </c>
      <c r="K27">
        <v>122.96</v>
      </c>
      <c r="L27">
        <v>0</v>
      </c>
      <c r="M27">
        <v>6</v>
      </c>
      <c r="N27">
        <v>3</v>
      </c>
      <c r="O27">
        <v>169</v>
      </c>
      <c r="P27">
        <v>42</v>
      </c>
      <c r="Q27" s="1" t="s">
        <v>17</v>
      </c>
    </row>
    <row r="28" spans="1:17" x14ac:dyDescent="0.35">
      <c r="A28" s="1" t="s">
        <v>244</v>
      </c>
      <c r="B28" s="1" t="s">
        <v>102</v>
      </c>
      <c r="C28" s="1" t="s">
        <v>52</v>
      </c>
      <c r="D28">
        <v>83</v>
      </c>
      <c r="E28">
        <v>71</v>
      </c>
      <c r="F28">
        <v>12</v>
      </c>
      <c r="G28">
        <v>1386</v>
      </c>
      <c r="H28" s="1" t="s">
        <v>245</v>
      </c>
      <c r="I28">
        <v>23.49</v>
      </c>
      <c r="J28">
        <v>1200</v>
      </c>
      <c r="K28">
        <v>115.5</v>
      </c>
      <c r="L28">
        <v>0</v>
      </c>
      <c r="M28">
        <v>5</v>
      </c>
      <c r="N28">
        <v>5</v>
      </c>
      <c r="O28">
        <v>126</v>
      </c>
      <c r="P28">
        <v>34</v>
      </c>
      <c r="Q28" s="1" t="s">
        <v>17</v>
      </c>
    </row>
    <row r="29" spans="1:17" x14ac:dyDescent="0.35">
      <c r="A29" s="1" t="s">
        <v>230</v>
      </c>
      <c r="B29" s="1" t="s">
        <v>103</v>
      </c>
      <c r="C29" s="1" t="s">
        <v>231</v>
      </c>
      <c r="D29">
        <v>75</v>
      </c>
      <c r="E29">
        <v>68</v>
      </c>
      <c r="F29">
        <v>5</v>
      </c>
      <c r="G29">
        <v>1382</v>
      </c>
      <c r="H29" s="1" t="s">
        <v>232</v>
      </c>
      <c r="I29">
        <v>21.93</v>
      </c>
      <c r="J29">
        <v>1247</v>
      </c>
      <c r="K29">
        <v>110.82</v>
      </c>
      <c r="L29">
        <v>0</v>
      </c>
      <c r="M29">
        <v>4</v>
      </c>
      <c r="N29">
        <v>5</v>
      </c>
      <c r="O29">
        <v>87</v>
      </c>
      <c r="P29">
        <v>69</v>
      </c>
      <c r="Q29" s="1" t="s">
        <v>17</v>
      </c>
    </row>
    <row r="30" spans="1:17" x14ac:dyDescent="0.35">
      <c r="A30" s="1" t="s">
        <v>233</v>
      </c>
      <c r="B30" s="1" t="s">
        <v>108</v>
      </c>
      <c r="C30" s="1" t="s">
        <v>195</v>
      </c>
      <c r="D30">
        <v>56</v>
      </c>
      <c r="E30">
        <v>53</v>
      </c>
      <c r="F30">
        <v>9</v>
      </c>
      <c r="G30">
        <v>1382</v>
      </c>
      <c r="H30" s="1" t="s">
        <v>187</v>
      </c>
      <c r="I30">
        <v>31.4</v>
      </c>
      <c r="J30">
        <v>1156</v>
      </c>
      <c r="K30">
        <v>119.55</v>
      </c>
      <c r="L30">
        <v>0</v>
      </c>
      <c r="M30">
        <v>8</v>
      </c>
      <c r="N30">
        <v>2</v>
      </c>
      <c r="O30">
        <v>139</v>
      </c>
      <c r="P30">
        <v>20</v>
      </c>
      <c r="Q30" s="1" t="s">
        <v>17</v>
      </c>
    </row>
    <row r="31" spans="1:17" x14ac:dyDescent="0.35">
      <c r="A31" s="1" t="s">
        <v>235</v>
      </c>
      <c r="B31" s="1" t="s">
        <v>228</v>
      </c>
      <c r="C31" s="1" t="s">
        <v>28</v>
      </c>
      <c r="D31">
        <v>73</v>
      </c>
      <c r="E31">
        <v>62</v>
      </c>
      <c r="F31">
        <v>10</v>
      </c>
      <c r="G31">
        <v>1369</v>
      </c>
      <c r="H31" s="1" t="s">
        <v>236</v>
      </c>
      <c r="I31">
        <v>26.32</v>
      </c>
      <c r="J31">
        <v>1149</v>
      </c>
      <c r="K31">
        <v>119.14</v>
      </c>
      <c r="L31">
        <v>1</v>
      </c>
      <c r="M31">
        <v>5</v>
      </c>
      <c r="N31">
        <v>4</v>
      </c>
      <c r="O31">
        <v>137</v>
      </c>
      <c r="P31">
        <v>49</v>
      </c>
      <c r="Q31" s="1" t="s">
        <v>17</v>
      </c>
    </row>
    <row r="32" spans="1:17" x14ac:dyDescent="0.35">
      <c r="A32" s="1" t="s">
        <v>265</v>
      </c>
      <c r="B32" s="1" t="s">
        <v>108</v>
      </c>
      <c r="C32" s="1" t="s">
        <v>38</v>
      </c>
      <c r="D32">
        <v>70</v>
      </c>
      <c r="E32">
        <v>68</v>
      </c>
      <c r="F32">
        <v>8</v>
      </c>
      <c r="G32">
        <v>1357</v>
      </c>
      <c r="H32" s="1" t="s">
        <v>266</v>
      </c>
      <c r="I32">
        <v>22.61</v>
      </c>
      <c r="J32">
        <v>1074</v>
      </c>
      <c r="K32">
        <v>126.35</v>
      </c>
      <c r="L32">
        <v>0</v>
      </c>
      <c r="M32">
        <v>6</v>
      </c>
      <c r="N32">
        <v>7</v>
      </c>
      <c r="O32">
        <v>92</v>
      </c>
      <c r="P32">
        <v>64</v>
      </c>
      <c r="Q32" s="1" t="s">
        <v>17</v>
      </c>
    </row>
    <row r="33" spans="1:17" x14ac:dyDescent="0.35">
      <c r="A33" s="1" t="s">
        <v>248</v>
      </c>
      <c r="B33" s="1" t="s">
        <v>249</v>
      </c>
      <c r="C33" s="1" t="s">
        <v>34</v>
      </c>
      <c r="D33">
        <v>58</v>
      </c>
      <c r="E33">
        <v>56</v>
      </c>
      <c r="F33">
        <v>5</v>
      </c>
      <c r="G33">
        <v>1355</v>
      </c>
      <c r="H33" s="1" t="s">
        <v>45</v>
      </c>
      <c r="I33">
        <v>26.56</v>
      </c>
      <c r="J33">
        <v>1280</v>
      </c>
      <c r="K33">
        <v>105.85</v>
      </c>
      <c r="L33">
        <v>0</v>
      </c>
      <c r="M33">
        <v>8</v>
      </c>
      <c r="N33">
        <v>2</v>
      </c>
      <c r="O33">
        <v>146</v>
      </c>
      <c r="P33">
        <v>25</v>
      </c>
      <c r="Q33" s="1" t="s">
        <v>17</v>
      </c>
    </row>
    <row r="34" spans="1:17" x14ac:dyDescent="0.35">
      <c r="A34" s="1" t="s">
        <v>327</v>
      </c>
      <c r="B34" s="1" t="s">
        <v>289</v>
      </c>
      <c r="C34" s="1" t="s">
        <v>38</v>
      </c>
      <c r="D34">
        <v>44</v>
      </c>
      <c r="E34">
        <v>43</v>
      </c>
      <c r="F34">
        <v>4</v>
      </c>
      <c r="G34">
        <v>1351</v>
      </c>
      <c r="H34" s="1" t="s">
        <v>170</v>
      </c>
      <c r="I34">
        <v>34.64</v>
      </c>
      <c r="J34">
        <v>848</v>
      </c>
      <c r="K34">
        <v>159.31</v>
      </c>
      <c r="L34">
        <v>1</v>
      </c>
      <c r="M34">
        <v>7</v>
      </c>
      <c r="N34">
        <v>1</v>
      </c>
      <c r="O34">
        <v>167</v>
      </c>
      <c r="P34">
        <v>61</v>
      </c>
      <c r="Q34" s="1" t="s">
        <v>17</v>
      </c>
    </row>
    <row r="35" spans="1:17" x14ac:dyDescent="0.35">
      <c r="A35" s="1" t="s">
        <v>267</v>
      </c>
      <c r="B35" s="1" t="s">
        <v>93</v>
      </c>
      <c r="C35" s="1" t="s">
        <v>61</v>
      </c>
      <c r="D35">
        <v>82</v>
      </c>
      <c r="E35">
        <v>66</v>
      </c>
      <c r="F35">
        <v>24</v>
      </c>
      <c r="G35">
        <v>1338</v>
      </c>
      <c r="H35" s="1" t="s">
        <v>187</v>
      </c>
      <c r="I35">
        <v>31.85</v>
      </c>
      <c r="J35">
        <v>907</v>
      </c>
      <c r="K35">
        <v>147.51</v>
      </c>
      <c r="L35">
        <v>0</v>
      </c>
      <c r="M35">
        <v>6</v>
      </c>
      <c r="N35">
        <v>2</v>
      </c>
      <c r="O35">
        <v>110</v>
      </c>
      <c r="P35">
        <v>65</v>
      </c>
      <c r="Q35" s="1" t="s">
        <v>17</v>
      </c>
    </row>
    <row r="36" spans="1:17" x14ac:dyDescent="0.35">
      <c r="A36" s="1" t="s">
        <v>256</v>
      </c>
      <c r="B36" s="1" t="s">
        <v>149</v>
      </c>
      <c r="C36" s="1" t="s">
        <v>61</v>
      </c>
      <c r="D36">
        <v>66</v>
      </c>
      <c r="E36">
        <v>63</v>
      </c>
      <c r="F36">
        <v>10</v>
      </c>
      <c r="G36">
        <v>1336</v>
      </c>
      <c r="H36" s="1" t="s">
        <v>147</v>
      </c>
      <c r="I36">
        <v>25.2</v>
      </c>
      <c r="J36">
        <v>1158</v>
      </c>
      <c r="K36">
        <v>115.37</v>
      </c>
      <c r="L36">
        <v>0</v>
      </c>
      <c r="M36">
        <v>8</v>
      </c>
      <c r="N36">
        <v>1</v>
      </c>
      <c r="O36">
        <v>118</v>
      </c>
      <c r="P36">
        <v>40</v>
      </c>
      <c r="Q36" s="1" t="s">
        <v>17</v>
      </c>
    </row>
    <row r="37" spans="1:17" x14ac:dyDescent="0.35">
      <c r="A37" s="1" t="s">
        <v>243</v>
      </c>
      <c r="B37" s="1" t="s">
        <v>228</v>
      </c>
      <c r="C37" s="1" t="s">
        <v>28</v>
      </c>
      <c r="D37">
        <v>56</v>
      </c>
      <c r="E37">
        <v>55</v>
      </c>
      <c r="F37">
        <v>7</v>
      </c>
      <c r="G37">
        <v>1330</v>
      </c>
      <c r="H37" s="1" t="s">
        <v>130</v>
      </c>
      <c r="I37">
        <v>27.7</v>
      </c>
      <c r="J37">
        <v>1092</v>
      </c>
      <c r="K37">
        <v>121.79</v>
      </c>
      <c r="L37">
        <v>0</v>
      </c>
      <c r="M37">
        <v>10</v>
      </c>
      <c r="N37">
        <v>4</v>
      </c>
      <c r="O37">
        <v>125</v>
      </c>
      <c r="P37">
        <v>44</v>
      </c>
      <c r="Q37" s="1" t="s">
        <v>17</v>
      </c>
    </row>
    <row r="38" spans="1:17" x14ac:dyDescent="0.35">
      <c r="A38" s="1" t="s">
        <v>246</v>
      </c>
      <c r="B38" s="1" t="s">
        <v>247</v>
      </c>
      <c r="C38" s="1" t="s">
        <v>63</v>
      </c>
      <c r="D38">
        <v>85</v>
      </c>
      <c r="E38">
        <v>81</v>
      </c>
      <c r="F38">
        <v>4</v>
      </c>
      <c r="G38">
        <v>1323</v>
      </c>
      <c r="H38" s="1" t="s">
        <v>31</v>
      </c>
      <c r="I38">
        <v>17.18</v>
      </c>
      <c r="J38">
        <v>1271</v>
      </c>
      <c r="K38">
        <v>104.09</v>
      </c>
      <c r="L38">
        <v>1</v>
      </c>
      <c r="M38">
        <v>3</v>
      </c>
      <c r="N38">
        <v>11</v>
      </c>
      <c r="O38">
        <v>131</v>
      </c>
      <c r="P38">
        <v>32</v>
      </c>
      <c r="Q38" s="1" t="s">
        <v>17</v>
      </c>
    </row>
    <row r="39" spans="1:17" x14ac:dyDescent="0.35">
      <c r="A39" s="1" t="s">
        <v>310</v>
      </c>
      <c r="B39" s="1" t="s">
        <v>247</v>
      </c>
      <c r="C39" s="1" t="s">
        <v>38</v>
      </c>
      <c r="D39">
        <v>90</v>
      </c>
      <c r="E39">
        <v>84</v>
      </c>
      <c r="F39">
        <v>7</v>
      </c>
      <c r="G39">
        <v>1306</v>
      </c>
      <c r="H39" s="1" t="s">
        <v>311</v>
      </c>
      <c r="I39">
        <v>16.96</v>
      </c>
      <c r="J39">
        <v>1583</v>
      </c>
      <c r="K39">
        <v>82.5</v>
      </c>
      <c r="L39">
        <v>0</v>
      </c>
      <c r="M39">
        <v>6</v>
      </c>
      <c r="N39">
        <v>6</v>
      </c>
      <c r="O39">
        <v>118</v>
      </c>
      <c r="P39">
        <v>24</v>
      </c>
      <c r="Q39" s="1" t="s">
        <v>17</v>
      </c>
    </row>
    <row r="40" spans="1:17" x14ac:dyDescent="0.35">
      <c r="A40" s="1" t="s">
        <v>316</v>
      </c>
      <c r="B40" s="1" t="s">
        <v>95</v>
      </c>
      <c r="C40" s="1" t="s">
        <v>317</v>
      </c>
      <c r="D40">
        <v>56</v>
      </c>
      <c r="E40">
        <v>56</v>
      </c>
      <c r="F40">
        <v>10</v>
      </c>
      <c r="G40">
        <v>1302</v>
      </c>
      <c r="H40" s="1" t="s">
        <v>263</v>
      </c>
      <c r="I40">
        <v>28.3</v>
      </c>
      <c r="J40">
        <v>944</v>
      </c>
      <c r="K40">
        <v>137.91999999999999</v>
      </c>
      <c r="L40">
        <v>0</v>
      </c>
      <c r="M40">
        <v>6</v>
      </c>
      <c r="N40">
        <v>4</v>
      </c>
      <c r="O40">
        <v>81</v>
      </c>
      <c r="P40">
        <v>84</v>
      </c>
      <c r="Q40" s="1" t="s">
        <v>17</v>
      </c>
    </row>
    <row r="41" spans="1:17" x14ac:dyDescent="0.35">
      <c r="A41" s="1" t="s">
        <v>273</v>
      </c>
      <c r="B41" s="1" t="s">
        <v>274</v>
      </c>
      <c r="C41" s="1" t="s">
        <v>34</v>
      </c>
      <c r="D41">
        <v>55</v>
      </c>
      <c r="E41">
        <v>49</v>
      </c>
      <c r="F41">
        <v>8</v>
      </c>
      <c r="G41">
        <v>1301</v>
      </c>
      <c r="H41" s="1" t="s">
        <v>275</v>
      </c>
      <c r="I41">
        <v>31.73</v>
      </c>
      <c r="J41">
        <v>926</v>
      </c>
      <c r="K41">
        <v>140.49</v>
      </c>
      <c r="L41">
        <v>0</v>
      </c>
      <c r="M41">
        <v>8</v>
      </c>
      <c r="N41">
        <v>4</v>
      </c>
      <c r="O41">
        <v>107</v>
      </c>
      <c r="P41">
        <v>55</v>
      </c>
      <c r="Q41" s="1" t="s">
        <v>17</v>
      </c>
    </row>
    <row r="42" spans="1:17" x14ac:dyDescent="0.35">
      <c r="A42" s="1" t="s">
        <v>250</v>
      </c>
      <c r="B42" s="1" t="s">
        <v>127</v>
      </c>
      <c r="C42" s="1" t="s">
        <v>251</v>
      </c>
      <c r="D42">
        <v>64</v>
      </c>
      <c r="E42">
        <v>54</v>
      </c>
      <c r="F42">
        <v>17</v>
      </c>
      <c r="G42">
        <v>1291</v>
      </c>
      <c r="H42" s="1" t="s">
        <v>114</v>
      </c>
      <c r="I42">
        <v>34.89</v>
      </c>
      <c r="J42">
        <v>1287</v>
      </c>
      <c r="K42">
        <v>100.31</v>
      </c>
      <c r="L42">
        <v>0</v>
      </c>
      <c r="M42">
        <v>8</v>
      </c>
      <c r="N42">
        <v>2</v>
      </c>
      <c r="O42">
        <v>113</v>
      </c>
      <c r="P42">
        <v>15</v>
      </c>
      <c r="Q42" s="1" t="s">
        <v>17</v>
      </c>
    </row>
    <row r="43" spans="1:17" x14ac:dyDescent="0.35">
      <c r="A43" s="1" t="s">
        <v>252</v>
      </c>
      <c r="B43" s="1" t="s">
        <v>92</v>
      </c>
      <c r="C43" s="1" t="s">
        <v>38</v>
      </c>
      <c r="D43">
        <v>52</v>
      </c>
      <c r="E43">
        <v>52</v>
      </c>
      <c r="F43">
        <v>1</v>
      </c>
      <c r="G43">
        <v>1285</v>
      </c>
      <c r="H43" s="1" t="s">
        <v>253</v>
      </c>
      <c r="I43">
        <v>25.19</v>
      </c>
      <c r="J43">
        <v>787</v>
      </c>
      <c r="K43">
        <v>163.27000000000001</v>
      </c>
      <c r="L43">
        <v>2</v>
      </c>
      <c r="M43">
        <v>5</v>
      </c>
      <c r="N43">
        <v>5</v>
      </c>
      <c r="O43">
        <v>113</v>
      </c>
      <c r="P43">
        <v>89</v>
      </c>
      <c r="Q43" s="1" t="s">
        <v>17</v>
      </c>
    </row>
    <row r="44" spans="1:17" x14ac:dyDescent="0.35">
      <c r="A44" s="1" t="s">
        <v>450</v>
      </c>
      <c r="B44" s="1" t="s">
        <v>451</v>
      </c>
      <c r="C44" s="1" t="s">
        <v>34</v>
      </c>
      <c r="D44">
        <v>46</v>
      </c>
      <c r="E44">
        <v>45</v>
      </c>
      <c r="F44">
        <v>10</v>
      </c>
      <c r="G44">
        <v>1283</v>
      </c>
      <c r="H44" s="1" t="s">
        <v>282</v>
      </c>
      <c r="I44">
        <v>36.65</v>
      </c>
      <c r="J44">
        <v>1130</v>
      </c>
      <c r="K44">
        <v>113.53</v>
      </c>
      <c r="L44">
        <v>0</v>
      </c>
      <c r="M44">
        <v>9</v>
      </c>
      <c r="N44">
        <v>0</v>
      </c>
      <c r="O44">
        <v>109</v>
      </c>
      <c r="P44">
        <v>18</v>
      </c>
      <c r="Q44" s="1" t="s">
        <v>17</v>
      </c>
    </row>
    <row r="45" spans="1:17" x14ac:dyDescent="0.35">
      <c r="A45" s="1" t="s">
        <v>254</v>
      </c>
      <c r="B45" s="1" t="s">
        <v>180</v>
      </c>
      <c r="C45" s="1" t="s">
        <v>255</v>
      </c>
      <c r="D45">
        <v>44</v>
      </c>
      <c r="E45">
        <v>44</v>
      </c>
      <c r="F45">
        <v>6</v>
      </c>
      <c r="G45">
        <v>1277</v>
      </c>
      <c r="H45" s="1" t="s">
        <v>174</v>
      </c>
      <c r="I45">
        <v>33.6</v>
      </c>
      <c r="J45">
        <v>967</v>
      </c>
      <c r="K45">
        <v>132.05000000000001</v>
      </c>
      <c r="L45">
        <v>0</v>
      </c>
      <c r="M45">
        <v>8</v>
      </c>
      <c r="N45">
        <v>2</v>
      </c>
      <c r="O45">
        <v>146</v>
      </c>
      <c r="P45">
        <v>26</v>
      </c>
      <c r="Q45" s="1" t="s">
        <v>17</v>
      </c>
    </row>
    <row r="46" spans="1:17" x14ac:dyDescent="0.35">
      <c r="A46" s="1" t="s">
        <v>395</v>
      </c>
      <c r="B46" s="1" t="s">
        <v>105</v>
      </c>
      <c r="C46" s="1" t="s">
        <v>177</v>
      </c>
      <c r="D46">
        <v>65</v>
      </c>
      <c r="E46">
        <v>56</v>
      </c>
      <c r="F46">
        <v>11</v>
      </c>
      <c r="G46">
        <v>1276</v>
      </c>
      <c r="H46" s="1" t="s">
        <v>69</v>
      </c>
      <c r="I46">
        <v>28.35</v>
      </c>
      <c r="J46">
        <v>914</v>
      </c>
      <c r="K46">
        <v>139.6</v>
      </c>
      <c r="L46">
        <v>1</v>
      </c>
      <c r="M46">
        <v>6</v>
      </c>
      <c r="N46">
        <v>2</v>
      </c>
      <c r="O46">
        <v>131</v>
      </c>
      <c r="P46">
        <v>49</v>
      </c>
      <c r="Q46" s="1" t="s">
        <v>17</v>
      </c>
    </row>
    <row r="47" spans="1:17" x14ac:dyDescent="0.35">
      <c r="A47" s="1" t="s">
        <v>257</v>
      </c>
      <c r="B47" s="1" t="s">
        <v>91</v>
      </c>
      <c r="C47" s="1" t="s">
        <v>258</v>
      </c>
      <c r="D47">
        <v>81</v>
      </c>
      <c r="E47">
        <v>68</v>
      </c>
      <c r="F47">
        <v>8</v>
      </c>
      <c r="G47">
        <v>1268</v>
      </c>
      <c r="H47" s="1" t="s">
        <v>259</v>
      </c>
      <c r="I47">
        <v>21.13</v>
      </c>
      <c r="J47">
        <v>1212</v>
      </c>
      <c r="K47">
        <v>104.62</v>
      </c>
      <c r="L47">
        <v>0</v>
      </c>
      <c r="M47">
        <v>3</v>
      </c>
      <c r="N47">
        <v>4</v>
      </c>
      <c r="O47">
        <v>108</v>
      </c>
      <c r="P47">
        <v>20</v>
      </c>
      <c r="Q47" s="1" t="s">
        <v>17</v>
      </c>
    </row>
    <row r="48" spans="1:17" x14ac:dyDescent="0.35">
      <c r="A48" s="1" t="s">
        <v>278</v>
      </c>
      <c r="B48" s="1" t="s">
        <v>100</v>
      </c>
      <c r="C48" s="1" t="s">
        <v>169</v>
      </c>
      <c r="D48">
        <v>79</v>
      </c>
      <c r="E48">
        <v>74</v>
      </c>
      <c r="F48">
        <v>8</v>
      </c>
      <c r="G48">
        <v>1256</v>
      </c>
      <c r="H48" s="1" t="s">
        <v>229</v>
      </c>
      <c r="I48">
        <v>19.03</v>
      </c>
      <c r="J48">
        <v>1096</v>
      </c>
      <c r="K48">
        <v>114.59</v>
      </c>
      <c r="L48">
        <v>0</v>
      </c>
      <c r="M48">
        <v>7</v>
      </c>
      <c r="N48">
        <v>7</v>
      </c>
      <c r="O48">
        <v>139</v>
      </c>
      <c r="P48">
        <v>16</v>
      </c>
      <c r="Q48" s="1" t="s">
        <v>17</v>
      </c>
    </row>
    <row r="49" spans="1:17" x14ac:dyDescent="0.35">
      <c r="A49" s="1" t="s">
        <v>264</v>
      </c>
      <c r="B49" s="1" t="s">
        <v>101</v>
      </c>
      <c r="C49" s="1" t="s">
        <v>47</v>
      </c>
      <c r="D49">
        <v>91</v>
      </c>
      <c r="E49">
        <v>74</v>
      </c>
      <c r="F49">
        <v>17</v>
      </c>
      <c r="G49">
        <v>1255</v>
      </c>
      <c r="H49" s="1" t="s">
        <v>245</v>
      </c>
      <c r="I49">
        <v>22.01</v>
      </c>
      <c r="J49">
        <v>1091</v>
      </c>
      <c r="K49">
        <v>115.03</v>
      </c>
      <c r="L49">
        <v>0</v>
      </c>
      <c r="M49">
        <v>4</v>
      </c>
      <c r="N49">
        <v>5</v>
      </c>
      <c r="O49">
        <v>73</v>
      </c>
      <c r="P49">
        <v>55</v>
      </c>
      <c r="Q49" s="1" t="s">
        <v>17</v>
      </c>
    </row>
    <row r="50" spans="1:17" x14ac:dyDescent="0.35">
      <c r="A50" s="1" t="s">
        <v>582</v>
      </c>
      <c r="B50" s="1" t="s">
        <v>225</v>
      </c>
      <c r="C50" s="1" t="s">
        <v>38</v>
      </c>
      <c r="D50">
        <v>53</v>
      </c>
      <c r="E50">
        <v>51</v>
      </c>
      <c r="F50">
        <v>6</v>
      </c>
      <c r="G50">
        <v>1245</v>
      </c>
      <c r="H50" s="1" t="s">
        <v>271</v>
      </c>
      <c r="I50">
        <v>27.66</v>
      </c>
      <c r="J50">
        <v>1095</v>
      </c>
      <c r="K50">
        <v>113.69</v>
      </c>
      <c r="L50">
        <v>0</v>
      </c>
      <c r="M50">
        <v>7</v>
      </c>
      <c r="N50">
        <v>2</v>
      </c>
      <c r="O50">
        <v>127</v>
      </c>
      <c r="P50">
        <v>32</v>
      </c>
      <c r="Q50" s="1" t="s">
        <v>17</v>
      </c>
    </row>
    <row r="51" spans="1:17" x14ac:dyDescent="0.35">
      <c r="A51" s="1" t="s">
        <v>268</v>
      </c>
      <c r="B51" s="1" t="s">
        <v>106</v>
      </c>
      <c r="C51" s="1" t="s">
        <v>269</v>
      </c>
      <c r="D51">
        <v>58</v>
      </c>
      <c r="E51">
        <v>55</v>
      </c>
      <c r="F51">
        <v>11</v>
      </c>
      <c r="G51">
        <v>1239</v>
      </c>
      <c r="H51" s="1" t="s">
        <v>184</v>
      </c>
      <c r="I51">
        <v>28.15</v>
      </c>
      <c r="J51">
        <v>993</v>
      </c>
      <c r="K51">
        <v>124.77</v>
      </c>
      <c r="L51">
        <v>0</v>
      </c>
      <c r="M51">
        <v>9</v>
      </c>
      <c r="N51">
        <v>7</v>
      </c>
      <c r="O51">
        <v>118</v>
      </c>
      <c r="P51">
        <v>38</v>
      </c>
      <c r="Q51" s="1" t="s">
        <v>17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1FD63-C796-4028-A962-A63F6F564421}">
  <sheetPr codeName="Sheet4"/>
  <dimension ref="A1:P51"/>
  <sheetViews>
    <sheetView workbookViewId="0">
      <selection sqref="A1:P51"/>
    </sheetView>
  </sheetViews>
  <sheetFormatPr defaultRowHeight="14.5" x14ac:dyDescent="0.35"/>
  <cols>
    <col min="1" max="1" width="15.26953125" bestFit="1" customWidth="1"/>
    <col min="2" max="2" width="12.08984375" bestFit="1" customWidth="1"/>
    <col min="3" max="3" width="9.453125" bestFit="1" customWidth="1"/>
    <col min="4" max="4" width="6.54296875" bestFit="1" customWidth="1"/>
    <col min="5" max="5" width="6.6328125" bestFit="1" customWidth="1"/>
    <col min="6" max="6" width="5.7265625" bestFit="1" customWidth="1"/>
    <col min="7" max="7" width="7.1796875" bestFit="1" customWidth="1"/>
    <col min="8" max="8" width="5.26953125" bestFit="1" customWidth="1"/>
    <col min="9" max="9" width="6.1796875" bestFit="1" customWidth="1"/>
    <col min="10" max="10" width="5.08984375" bestFit="1" customWidth="1"/>
    <col min="11" max="11" width="6.81640625" bestFit="1" customWidth="1"/>
    <col min="12" max="12" width="6.08984375" bestFit="1" customWidth="1"/>
    <col min="13" max="13" width="5.08984375" bestFit="1" customWidth="1"/>
    <col min="14" max="14" width="4.08984375" bestFit="1" customWidth="1"/>
    <col min="15" max="16" width="4.90625" bestFit="1" customWidth="1"/>
  </cols>
  <sheetData>
    <row r="1" spans="1:16" x14ac:dyDescent="0.35">
      <c r="A1" t="s">
        <v>86</v>
      </c>
      <c r="B1" t="s">
        <v>87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</row>
    <row r="2" spans="1:16" x14ac:dyDescent="0.35">
      <c r="A2" s="1" t="s">
        <v>270</v>
      </c>
      <c r="B2" s="1" t="s">
        <v>102</v>
      </c>
      <c r="C2" s="1" t="s">
        <v>26</v>
      </c>
      <c r="D2">
        <v>64</v>
      </c>
      <c r="E2">
        <v>61</v>
      </c>
      <c r="F2">
        <v>9</v>
      </c>
      <c r="G2">
        <v>1238</v>
      </c>
      <c r="H2" s="1" t="s">
        <v>271</v>
      </c>
      <c r="I2">
        <v>23.8</v>
      </c>
      <c r="J2">
        <v>1115</v>
      </c>
      <c r="K2">
        <v>111.03</v>
      </c>
      <c r="L2">
        <v>0</v>
      </c>
      <c r="M2">
        <v>7</v>
      </c>
      <c r="N2">
        <v>8</v>
      </c>
      <c r="O2">
        <v>107</v>
      </c>
      <c r="P2">
        <v>23</v>
      </c>
    </row>
    <row r="3" spans="1:16" x14ac:dyDescent="0.35">
      <c r="A3" s="1" t="s">
        <v>291</v>
      </c>
      <c r="B3" s="1" t="s">
        <v>91</v>
      </c>
      <c r="C3" s="1" t="s">
        <v>292</v>
      </c>
      <c r="D3">
        <v>148</v>
      </c>
      <c r="E3">
        <v>98</v>
      </c>
      <c r="F3">
        <v>37</v>
      </c>
      <c r="G3">
        <v>1230</v>
      </c>
      <c r="H3" s="1" t="s">
        <v>293</v>
      </c>
      <c r="I3">
        <v>20.16</v>
      </c>
      <c r="J3">
        <v>939</v>
      </c>
      <c r="K3">
        <v>130.99</v>
      </c>
      <c r="L3">
        <v>0</v>
      </c>
      <c r="M3">
        <v>2</v>
      </c>
      <c r="N3">
        <v>8</v>
      </c>
      <c r="O3">
        <v>91</v>
      </c>
      <c r="P3">
        <v>44</v>
      </c>
    </row>
    <row r="4" spans="1:16" x14ac:dyDescent="0.35">
      <c r="A4" s="1" t="s">
        <v>272</v>
      </c>
      <c r="B4" s="1" t="s">
        <v>90</v>
      </c>
      <c r="C4" s="1" t="s">
        <v>56</v>
      </c>
      <c r="D4">
        <v>92</v>
      </c>
      <c r="E4">
        <v>75</v>
      </c>
      <c r="F4">
        <v>17</v>
      </c>
      <c r="G4">
        <v>1229</v>
      </c>
      <c r="H4" s="1" t="s">
        <v>190</v>
      </c>
      <c r="I4">
        <v>21.18</v>
      </c>
      <c r="J4">
        <v>863</v>
      </c>
      <c r="K4">
        <v>142.41</v>
      </c>
      <c r="L4">
        <v>0</v>
      </c>
      <c r="M4">
        <v>7</v>
      </c>
      <c r="N4">
        <v>9</v>
      </c>
      <c r="O4">
        <v>88</v>
      </c>
      <c r="P4">
        <v>68</v>
      </c>
    </row>
    <row r="5" spans="1:16" x14ac:dyDescent="0.35">
      <c r="A5" s="1" t="s">
        <v>337</v>
      </c>
      <c r="B5" s="1" t="s">
        <v>338</v>
      </c>
      <c r="C5" s="1" t="s">
        <v>34</v>
      </c>
      <c r="D5">
        <v>66</v>
      </c>
      <c r="E5">
        <v>65</v>
      </c>
      <c r="F5">
        <v>9</v>
      </c>
      <c r="G5">
        <v>1229</v>
      </c>
      <c r="H5" s="1" t="s">
        <v>282</v>
      </c>
      <c r="I5">
        <v>21.94</v>
      </c>
      <c r="J5">
        <v>1111</v>
      </c>
      <c r="K5">
        <v>110.62</v>
      </c>
      <c r="L5">
        <v>0</v>
      </c>
      <c r="M5">
        <v>8</v>
      </c>
      <c r="N5">
        <v>4</v>
      </c>
      <c r="O5">
        <v>136</v>
      </c>
      <c r="P5">
        <v>13</v>
      </c>
    </row>
    <row r="6" spans="1:16" x14ac:dyDescent="0.35">
      <c r="A6" s="1" t="s">
        <v>341</v>
      </c>
      <c r="B6" s="1" t="s">
        <v>106</v>
      </c>
      <c r="C6" s="1" t="s">
        <v>112</v>
      </c>
      <c r="D6">
        <v>82</v>
      </c>
      <c r="E6">
        <v>73</v>
      </c>
      <c r="F6">
        <v>19</v>
      </c>
      <c r="G6">
        <v>1226</v>
      </c>
      <c r="H6" s="1" t="s">
        <v>342</v>
      </c>
      <c r="I6">
        <v>22.7</v>
      </c>
      <c r="J6">
        <v>978</v>
      </c>
      <c r="K6">
        <v>125.35</v>
      </c>
      <c r="L6">
        <v>0</v>
      </c>
      <c r="M6">
        <v>2</v>
      </c>
      <c r="N6">
        <v>3</v>
      </c>
      <c r="O6">
        <v>97</v>
      </c>
      <c r="P6">
        <v>29</v>
      </c>
    </row>
    <row r="7" spans="1:16" x14ac:dyDescent="0.35">
      <c r="A7" s="1" t="s">
        <v>322</v>
      </c>
      <c r="B7" s="1" t="s">
        <v>320</v>
      </c>
      <c r="C7" s="1" t="s">
        <v>34</v>
      </c>
      <c r="D7">
        <v>56</v>
      </c>
      <c r="E7">
        <v>53</v>
      </c>
      <c r="F7">
        <v>3</v>
      </c>
      <c r="G7">
        <v>1215</v>
      </c>
      <c r="H7" s="1" t="s">
        <v>323</v>
      </c>
      <c r="I7">
        <v>24.3</v>
      </c>
      <c r="J7">
        <v>941</v>
      </c>
      <c r="K7">
        <v>129.11000000000001</v>
      </c>
      <c r="L7">
        <v>0</v>
      </c>
      <c r="M7">
        <v>5</v>
      </c>
      <c r="N7">
        <v>6</v>
      </c>
      <c r="O7">
        <v>68</v>
      </c>
      <c r="P7">
        <v>50</v>
      </c>
    </row>
    <row r="8" spans="1:16" x14ac:dyDescent="0.35">
      <c r="A8" s="1" t="s">
        <v>308</v>
      </c>
      <c r="B8" s="1" t="s">
        <v>309</v>
      </c>
      <c r="C8" s="1" t="s">
        <v>34</v>
      </c>
      <c r="D8">
        <v>38</v>
      </c>
      <c r="E8">
        <v>37</v>
      </c>
      <c r="F8">
        <v>3</v>
      </c>
      <c r="G8">
        <v>1210</v>
      </c>
      <c r="H8" s="1" t="s">
        <v>25</v>
      </c>
      <c r="I8">
        <v>35.58</v>
      </c>
      <c r="J8">
        <v>885</v>
      </c>
      <c r="K8">
        <v>136.72</v>
      </c>
      <c r="L8">
        <v>3</v>
      </c>
      <c r="M8">
        <v>6</v>
      </c>
      <c r="N8">
        <v>2</v>
      </c>
      <c r="O8">
        <v>132</v>
      </c>
      <c r="P8">
        <v>41</v>
      </c>
    </row>
    <row r="9" spans="1:16" x14ac:dyDescent="0.35">
      <c r="A9" s="1" t="s">
        <v>276</v>
      </c>
      <c r="B9" s="1" t="s">
        <v>88</v>
      </c>
      <c r="C9" s="1" t="s">
        <v>277</v>
      </c>
      <c r="D9">
        <v>76</v>
      </c>
      <c r="E9">
        <v>66</v>
      </c>
      <c r="F9">
        <v>14</v>
      </c>
      <c r="G9">
        <v>1209</v>
      </c>
      <c r="H9" s="1" t="s">
        <v>259</v>
      </c>
      <c r="I9">
        <v>23.25</v>
      </c>
      <c r="J9">
        <v>950</v>
      </c>
      <c r="K9">
        <v>127.26</v>
      </c>
      <c r="L9">
        <v>0</v>
      </c>
      <c r="M9">
        <v>3</v>
      </c>
      <c r="N9">
        <v>4</v>
      </c>
      <c r="O9">
        <v>111</v>
      </c>
      <c r="P9">
        <v>44</v>
      </c>
    </row>
    <row r="10" spans="1:16" x14ac:dyDescent="0.35">
      <c r="A10" s="1" t="s">
        <v>279</v>
      </c>
      <c r="B10" s="1" t="s">
        <v>280</v>
      </c>
      <c r="C10" s="1" t="s">
        <v>231</v>
      </c>
      <c r="D10">
        <v>84</v>
      </c>
      <c r="E10">
        <v>74</v>
      </c>
      <c r="F10">
        <v>22</v>
      </c>
      <c r="G10">
        <v>1204</v>
      </c>
      <c r="H10" s="1" t="s">
        <v>210</v>
      </c>
      <c r="I10">
        <v>23.15</v>
      </c>
      <c r="J10">
        <v>794</v>
      </c>
      <c r="K10">
        <v>151.63</v>
      </c>
      <c r="L10">
        <v>0</v>
      </c>
      <c r="M10">
        <v>3</v>
      </c>
      <c r="N10">
        <v>8</v>
      </c>
      <c r="O10">
        <v>88</v>
      </c>
      <c r="P10">
        <v>64</v>
      </c>
    </row>
    <row r="11" spans="1:16" x14ac:dyDescent="0.35">
      <c r="A11" s="1" t="s">
        <v>281</v>
      </c>
      <c r="B11" s="1" t="s">
        <v>93</v>
      </c>
      <c r="C11" s="1" t="s">
        <v>42</v>
      </c>
      <c r="D11">
        <v>92</v>
      </c>
      <c r="E11">
        <v>68</v>
      </c>
      <c r="F11">
        <v>22</v>
      </c>
      <c r="G11">
        <v>1202</v>
      </c>
      <c r="H11" s="1" t="s">
        <v>282</v>
      </c>
      <c r="I11">
        <v>26.13</v>
      </c>
      <c r="J11">
        <v>896</v>
      </c>
      <c r="K11">
        <v>134.15</v>
      </c>
      <c r="L11">
        <v>0</v>
      </c>
      <c r="M11">
        <v>3</v>
      </c>
      <c r="N11">
        <v>1</v>
      </c>
      <c r="O11">
        <v>95</v>
      </c>
      <c r="P11">
        <v>46</v>
      </c>
    </row>
    <row r="12" spans="1:16" x14ac:dyDescent="0.35">
      <c r="A12" s="1" t="s">
        <v>285</v>
      </c>
      <c r="B12" s="1" t="s">
        <v>286</v>
      </c>
      <c r="C12" s="1" t="s">
        <v>34</v>
      </c>
      <c r="D12">
        <v>45</v>
      </c>
      <c r="E12">
        <v>43</v>
      </c>
      <c r="F12">
        <v>6</v>
      </c>
      <c r="G12">
        <v>1197</v>
      </c>
      <c r="H12" s="1" t="s">
        <v>287</v>
      </c>
      <c r="I12">
        <v>32.35</v>
      </c>
      <c r="J12">
        <v>926</v>
      </c>
      <c r="K12">
        <v>129.26</v>
      </c>
      <c r="L12">
        <v>0</v>
      </c>
      <c r="M12">
        <v>9</v>
      </c>
      <c r="N12">
        <v>2</v>
      </c>
      <c r="O12">
        <v>96</v>
      </c>
      <c r="P12">
        <v>54</v>
      </c>
    </row>
    <row r="13" spans="1:16" x14ac:dyDescent="0.35">
      <c r="A13" s="1" t="s">
        <v>326</v>
      </c>
      <c r="B13" s="1" t="s">
        <v>93</v>
      </c>
      <c r="C13" s="1" t="s">
        <v>78</v>
      </c>
      <c r="D13">
        <v>47</v>
      </c>
      <c r="E13">
        <v>45</v>
      </c>
      <c r="F13">
        <v>4</v>
      </c>
      <c r="G13">
        <v>1197</v>
      </c>
      <c r="H13" s="1" t="s">
        <v>49</v>
      </c>
      <c r="I13">
        <v>29.19</v>
      </c>
      <c r="J13">
        <v>764</v>
      </c>
      <c r="K13">
        <v>156.66999999999999</v>
      </c>
      <c r="L13">
        <v>0</v>
      </c>
      <c r="M13">
        <v>5</v>
      </c>
      <c r="N13">
        <v>2</v>
      </c>
      <c r="O13">
        <v>129</v>
      </c>
      <c r="P13">
        <v>55</v>
      </c>
    </row>
    <row r="14" spans="1:16" x14ac:dyDescent="0.35">
      <c r="A14" s="1" t="s">
        <v>295</v>
      </c>
      <c r="B14" s="1" t="s">
        <v>94</v>
      </c>
      <c r="C14" s="1" t="s">
        <v>34</v>
      </c>
      <c r="D14">
        <v>64</v>
      </c>
      <c r="E14">
        <v>63</v>
      </c>
      <c r="F14">
        <v>3</v>
      </c>
      <c r="G14">
        <v>1191</v>
      </c>
      <c r="H14" s="1" t="s">
        <v>296</v>
      </c>
      <c r="I14">
        <v>19.850000000000001</v>
      </c>
      <c r="J14">
        <v>833</v>
      </c>
      <c r="K14">
        <v>142.97</v>
      </c>
      <c r="L14">
        <v>0</v>
      </c>
      <c r="M14">
        <v>4</v>
      </c>
      <c r="N14">
        <v>11</v>
      </c>
      <c r="O14">
        <v>120</v>
      </c>
      <c r="P14">
        <v>56</v>
      </c>
    </row>
    <row r="15" spans="1:16" x14ac:dyDescent="0.35">
      <c r="A15" s="1" t="s">
        <v>384</v>
      </c>
      <c r="B15" s="1" t="s">
        <v>164</v>
      </c>
      <c r="C15" s="1" t="s">
        <v>34</v>
      </c>
      <c r="D15">
        <v>67</v>
      </c>
      <c r="E15">
        <v>57</v>
      </c>
      <c r="F15">
        <v>22</v>
      </c>
      <c r="G15">
        <v>1189</v>
      </c>
      <c r="H15" s="1" t="s">
        <v>200</v>
      </c>
      <c r="I15">
        <v>33.97</v>
      </c>
      <c r="J15">
        <v>804</v>
      </c>
      <c r="K15">
        <v>147.88</v>
      </c>
      <c r="L15">
        <v>1</v>
      </c>
      <c r="M15">
        <v>4</v>
      </c>
      <c r="N15">
        <v>2</v>
      </c>
      <c r="O15">
        <v>72</v>
      </c>
      <c r="P15">
        <v>73</v>
      </c>
    </row>
    <row r="16" spans="1:16" x14ac:dyDescent="0.35">
      <c r="A16" s="1" t="s">
        <v>297</v>
      </c>
      <c r="B16" s="1" t="s">
        <v>104</v>
      </c>
      <c r="C16" s="1" t="s">
        <v>118</v>
      </c>
      <c r="D16">
        <v>58</v>
      </c>
      <c r="E16">
        <v>56</v>
      </c>
      <c r="F16">
        <v>5</v>
      </c>
      <c r="G16">
        <v>1186</v>
      </c>
      <c r="H16" s="1" t="s">
        <v>60</v>
      </c>
      <c r="I16">
        <v>23.25</v>
      </c>
      <c r="J16">
        <v>982</v>
      </c>
      <c r="K16">
        <v>120.77</v>
      </c>
      <c r="L16">
        <v>0</v>
      </c>
      <c r="M16">
        <v>5</v>
      </c>
      <c r="N16">
        <v>8</v>
      </c>
      <c r="O16">
        <v>133</v>
      </c>
      <c r="P16">
        <v>36</v>
      </c>
    </row>
    <row r="17" spans="1:16" x14ac:dyDescent="0.35">
      <c r="A17" s="1" t="s">
        <v>405</v>
      </c>
      <c r="B17" s="1" t="s">
        <v>100</v>
      </c>
      <c r="C17" s="1" t="s">
        <v>507</v>
      </c>
      <c r="D17">
        <v>58</v>
      </c>
      <c r="E17">
        <v>56</v>
      </c>
      <c r="F17">
        <v>6</v>
      </c>
      <c r="G17">
        <v>1185</v>
      </c>
      <c r="H17" s="1" t="s">
        <v>67</v>
      </c>
      <c r="I17">
        <v>23.7</v>
      </c>
      <c r="J17">
        <v>964</v>
      </c>
      <c r="K17">
        <v>122.92</v>
      </c>
      <c r="L17">
        <v>1</v>
      </c>
      <c r="M17">
        <v>6</v>
      </c>
      <c r="N17">
        <v>6</v>
      </c>
      <c r="O17">
        <v>122</v>
      </c>
      <c r="P17">
        <v>30</v>
      </c>
    </row>
    <row r="18" spans="1:16" x14ac:dyDescent="0.35">
      <c r="A18" s="1" t="s">
        <v>476</v>
      </c>
      <c r="B18" s="1" t="s">
        <v>98</v>
      </c>
      <c r="C18" s="1" t="s">
        <v>317</v>
      </c>
      <c r="D18">
        <v>56</v>
      </c>
      <c r="E18">
        <v>51</v>
      </c>
      <c r="F18">
        <v>8</v>
      </c>
      <c r="G18">
        <v>1177</v>
      </c>
      <c r="H18" s="1" t="s">
        <v>649</v>
      </c>
      <c r="I18">
        <v>27.37</v>
      </c>
      <c r="J18">
        <v>953</v>
      </c>
      <c r="K18">
        <v>123.5</v>
      </c>
      <c r="L18">
        <v>0</v>
      </c>
      <c r="M18">
        <v>5</v>
      </c>
      <c r="N18">
        <v>3</v>
      </c>
      <c r="O18">
        <v>76</v>
      </c>
      <c r="P18">
        <v>43</v>
      </c>
    </row>
    <row r="19" spans="1:16" x14ac:dyDescent="0.35">
      <c r="A19" s="1" t="s">
        <v>299</v>
      </c>
      <c r="B19" s="1" t="s">
        <v>88</v>
      </c>
      <c r="C19" s="1" t="s">
        <v>300</v>
      </c>
      <c r="D19">
        <v>58</v>
      </c>
      <c r="E19">
        <v>51</v>
      </c>
      <c r="F19">
        <v>9</v>
      </c>
      <c r="G19">
        <v>1177</v>
      </c>
      <c r="H19" s="1" t="s">
        <v>301</v>
      </c>
      <c r="I19">
        <v>28.02</v>
      </c>
      <c r="J19">
        <v>863</v>
      </c>
      <c r="K19">
        <v>136.38</v>
      </c>
      <c r="L19">
        <v>0</v>
      </c>
      <c r="M19">
        <v>8</v>
      </c>
      <c r="N19">
        <v>1</v>
      </c>
      <c r="O19">
        <v>77</v>
      </c>
      <c r="P19">
        <v>74</v>
      </c>
    </row>
    <row r="20" spans="1:16" x14ac:dyDescent="0.35">
      <c r="A20" s="1" t="s">
        <v>302</v>
      </c>
      <c r="B20" s="1" t="s">
        <v>90</v>
      </c>
      <c r="C20" s="1" t="s">
        <v>303</v>
      </c>
      <c r="D20">
        <v>37</v>
      </c>
      <c r="E20">
        <v>36</v>
      </c>
      <c r="F20">
        <v>5</v>
      </c>
      <c r="G20">
        <v>1176</v>
      </c>
      <c r="H20" s="1" t="s">
        <v>263</v>
      </c>
      <c r="I20">
        <v>37.93</v>
      </c>
      <c r="J20">
        <v>831</v>
      </c>
      <c r="K20">
        <v>141.51</v>
      </c>
      <c r="L20">
        <v>0</v>
      </c>
      <c r="M20">
        <v>7</v>
      </c>
      <c r="N20">
        <v>1</v>
      </c>
      <c r="O20">
        <v>119</v>
      </c>
      <c r="P20">
        <v>32</v>
      </c>
    </row>
    <row r="21" spans="1:16" x14ac:dyDescent="0.35">
      <c r="A21" s="1" t="s">
        <v>304</v>
      </c>
      <c r="B21" s="1" t="s">
        <v>305</v>
      </c>
      <c r="C21" s="1" t="s">
        <v>34</v>
      </c>
      <c r="D21">
        <v>41</v>
      </c>
      <c r="E21">
        <v>39</v>
      </c>
      <c r="F21">
        <v>7</v>
      </c>
      <c r="G21">
        <v>1169</v>
      </c>
      <c r="H21" s="1" t="s">
        <v>49</v>
      </c>
      <c r="I21">
        <v>36.53</v>
      </c>
      <c r="J21">
        <v>803</v>
      </c>
      <c r="K21">
        <v>145.57</v>
      </c>
      <c r="L21">
        <v>0</v>
      </c>
      <c r="M21">
        <v>9</v>
      </c>
      <c r="N21">
        <v>2</v>
      </c>
      <c r="O21">
        <v>80</v>
      </c>
      <c r="P21">
        <v>75</v>
      </c>
    </row>
    <row r="22" spans="1:16" x14ac:dyDescent="0.35">
      <c r="A22" s="1" t="s">
        <v>324</v>
      </c>
      <c r="B22" s="1" t="s">
        <v>247</v>
      </c>
      <c r="C22" s="1" t="s">
        <v>177</v>
      </c>
      <c r="D22">
        <v>82</v>
      </c>
      <c r="E22">
        <v>74</v>
      </c>
      <c r="F22">
        <v>8</v>
      </c>
      <c r="G22">
        <v>1167</v>
      </c>
      <c r="H22" s="1" t="s">
        <v>158</v>
      </c>
      <c r="I22">
        <v>17.68</v>
      </c>
      <c r="J22">
        <v>1231</v>
      </c>
      <c r="K22">
        <v>94.8</v>
      </c>
      <c r="L22">
        <v>0</v>
      </c>
      <c r="M22">
        <v>6</v>
      </c>
      <c r="N22">
        <v>10</v>
      </c>
      <c r="O22">
        <v>119</v>
      </c>
      <c r="P22">
        <v>23</v>
      </c>
    </row>
    <row r="23" spans="1:16" x14ac:dyDescent="0.35">
      <c r="A23" s="1" t="s">
        <v>370</v>
      </c>
      <c r="B23" s="1" t="s">
        <v>371</v>
      </c>
      <c r="C23" s="1" t="s">
        <v>34</v>
      </c>
      <c r="D23">
        <v>56</v>
      </c>
      <c r="E23">
        <v>51</v>
      </c>
      <c r="F23">
        <v>10</v>
      </c>
      <c r="G23">
        <v>1163</v>
      </c>
      <c r="H23" s="1" t="s">
        <v>31</v>
      </c>
      <c r="I23">
        <v>28.36</v>
      </c>
      <c r="J23">
        <v>688</v>
      </c>
      <c r="K23">
        <v>169.04</v>
      </c>
      <c r="L23">
        <v>1</v>
      </c>
      <c r="M23">
        <v>3</v>
      </c>
      <c r="N23">
        <v>4</v>
      </c>
      <c r="O23">
        <v>62</v>
      </c>
      <c r="P23">
        <v>98</v>
      </c>
    </row>
    <row r="24" spans="1:16" x14ac:dyDescent="0.35">
      <c r="A24" s="1" t="s">
        <v>306</v>
      </c>
      <c r="B24" s="1" t="s">
        <v>103</v>
      </c>
      <c r="C24" s="1" t="s">
        <v>18</v>
      </c>
      <c r="D24">
        <v>45</v>
      </c>
      <c r="E24">
        <v>45</v>
      </c>
      <c r="F24">
        <v>3</v>
      </c>
      <c r="G24">
        <v>1160</v>
      </c>
      <c r="H24" s="1" t="s">
        <v>307</v>
      </c>
      <c r="I24">
        <v>27.61</v>
      </c>
      <c r="J24">
        <v>874</v>
      </c>
      <c r="K24">
        <v>132.72</v>
      </c>
      <c r="L24">
        <v>1</v>
      </c>
      <c r="M24">
        <v>3</v>
      </c>
      <c r="N24">
        <v>3</v>
      </c>
      <c r="O24">
        <v>110</v>
      </c>
      <c r="P24">
        <v>66</v>
      </c>
    </row>
    <row r="25" spans="1:16" x14ac:dyDescent="0.35">
      <c r="A25" s="1" t="s">
        <v>354</v>
      </c>
      <c r="B25" s="1" t="s">
        <v>117</v>
      </c>
      <c r="C25" s="1" t="s">
        <v>169</v>
      </c>
      <c r="D25">
        <v>52</v>
      </c>
      <c r="E25">
        <v>49</v>
      </c>
      <c r="F25">
        <v>4</v>
      </c>
      <c r="G25">
        <v>1154</v>
      </c>
      <c r="H25" s="1" t="s">
        <v>79</v>
      </c>
      <c r="I25">
        <v>25.64</v>
      </c>
      <c r="J25">
        <v>983</v>
      </c>
      <c r="K25">
        <v>117.39</v>
      </c>
      <c r="L25">
        <v>0</v>
      </c>
      <c r="M25">
        <v>8</v>
      </c>
      <c r="N25">
        <v>6</v>
      </c>
      <c r="O25">
        <v>120</v>
      </c>
      <c r="P25">
        <v>35</v>
      </c>
    </row>
    <row r="26" spans="1:16" x14ac:dyDescent="0.35">
      <c r="A26" s="1" t="s">
        <v>420</v>
      </c>
      <c r="B26" s="1" t="s">
        <v>371</v>
      </c>
      <c r="C26" s="1" t="s">
        <v>34</v>
      </c>
      <c r="D26">
        <v>51</v>
      </c>
      <c r="E26">
        <v>48</v>
      </c>
      <c r="F26">
        <v>10</v>
      </c>
      <c r="G26">
        <v>1153</v>
      </c>
      <c r="H26" s="1" t="s">
        <v>116</v>
      </c>
      <c r="I26">
        <v>30.34</v>
      </c>
      <c r="J26">
        <v>841</v>
      </c>
      <c r="K26">
        <v>137.09</v>
      </c>
      <c r="L26">
        <v>1</v>
      </c>
      <c r="M26">
        <v>3</v>
      </c>
      <c r="N26">
        <v>2</v>
      </c>
      <c r="O26">
        <v>88</v>
      </c>
      <c r="P26">
        <v>69</v>
      </c>
    </row>
    <row r="27" spans="1:16" x14ac:dyDescent="0.35">
      <c r="A27" s="1" t="s">
        <v>577</v>
      </c>
      <c r="B27" s="1" t="s">
        <v>100</v>
      </c>
      <c r="C27" s="1" t="s">
        <v>38</v>
      </c>
      <c r="D27">
        <v>61</v>
      </c>
      <c r="E27">
        <v>61</v>
      </c>
      <c r="F27">
        <v>3</v>
      </c>
      <c r="G27">
        <v>1145</v>
      </c>
      <c r="H27" s="1" t="s">
        <v>79</v>
      </c>
      <c r="I27">
        <v>19.739999999999998</v>
      </c>
      <c r="J27">
        <v>894</v>
      </c>
      <c r="K27">
        <v>128.07</v>
      </c>
      <c r="L27">
        <v>0</v>
      </c>
      <c r="M27">
        <v>7</v>
      </c>
      <c r="N27">
        <v>5</v>
      </c>
      <c r="O27">
        <v>119</v>
      </c>
      <c r="P27">
        <v>40</v>
      </c>
    </row>
    <row r="28" spans="1:16" x14ac:dyDescent="0.35">
      <c r="A28" s="1" t="s">
        <v>355</v>
      </c>
      <c r="B28" s="1" t="s">
        <v>104</v>
      </c>
      <c r="C28" s="1" t="s">
        <v>34</v>
      </c>
      <c r="D28">
        <v>82</v>
      </c>
      <c r="E28">
        <v>70</v>
      </c>
      <c r="F28">
        <v>25</v>
      </c>
      <c r="G28">
        <v>1144</v>
      </c>
      <c r="H28" s="1" t="s">
        <v>301</v>
      </c>
      <c r="I28">
        <v>25.42</v>
      </c>
      <c r="J28">
        <v>915</v>
      </c>
      <c r="K28">
        <v>125.02</v>
      </c>
      <c r="L28">
        <v>0</v>
      </c>
      <c r="M28">
        <v>3</v>
      </c>
      <c r="N28">
        <v>3</v>
      </c>
      <c r="O28">
        <v>70</v>
      </c>
      <c r="P28">
        <v>68</v>
      </c>
    </row>
    <row r="29" spans="1:16" x14ac:dyDescent="0.35">
      <c r="A29" s="1" t="s">
        <v>400</v>
      </c>
      <c r="B29" s="1" t="s">
        <v>225</v>
      </c>
      <c r="C29" s="1" t="s">
        <v>177</v>
      </c>
      <c r="D29">
        <v>79</v>
      </c>
      <c r="E29">
        <v>61</v>
      </c>
      <c r="F29">
        <v>17</v>
      </c>
      <c r="G29">
        <v>1138</v>
      </c>
      <c r="H29" s="1" t="s">
        <v>232</v>
      </c>
      <c r="I29">
        <v>25.86</v>
      </c>
      <c r="J29">
        <v>908</v>
      </c>
      <c r="K29">
        <v>125.33</v>
      </c>
      <c r="L29">
        <v>0</v>
      </c>
      <c r="M29">
        <v>6</v>
      </c>
      <c r="N29">
        <v>1</v>
      </c>
      <c r="O29">
        <v>87</v>
      </c>
      <c r="P29">
        <v>37</v>
      </c>
    </row>
    <row r="30" spans="1:16" x14ac:dyDescent="0.35">
      <c r="A30" s="1" t="s">
        <v>331</v>
      </c>
      <c r="B30" s="1" t="s">
        <v>91</v>
      </c>
      <c r="C30" s="1" t="s">
        <v>34</v>
      </c>
      <c r="D30">
        <v>82</v>
      </c>
      <c r="E30">
        <v>69</v>
      </c>
      <c r="F30">
        <v>16</v>
      </c>
      <c r="G30">
        <v>1136</v>
      </c>
      <c r="H30" s="1" t="s">
        <v>158</v>
      </c>
      <c r="I30">
        <v>21.43</v>
      </c>
      <c r="J30">
        <v>843</v>
      </c>
      <c r="K30">
        <v>134.75</v>
      </c>
      <c r="L30">
        <v>0</v>
      </c>
      <c r="M30">
        <v>3</v>
      </c>
      <c r="N30">
        <v>3</v>
      </c>
      <c r="O30">
        <v>89</v>
      </c>
      <c r="P30">
        <v>53</v>
      </c>
    </row>
    <row r="31" spans="1:16" x14ac:dyDescent="0.35">
      <c r="A31" s="1" t="s">
        <v>315</v>
      </c>
      <c r="B31" s="1" t="s">
        <v>107</v>
      </c>
      <c r="C31" s="1" t="s">
        <v>169</v>
      </c>
      <c r="D31">
        <v>62</v>
      </c>
      <c r="E31">
        <v>59</v>
      </c>
      <c r="F31">
        <v>13</v>
      </c>
      <c r="G31">
        <v>1133</v>
      </c>
      <c r="H31" s="1" t="s">
        <v>200</v>
      </c>
      <c r="I31">
        <v>24.63</v>
      </c>
      <c r="J31">
        <v>884</v>
      </c>
      <c r="K31">
        <v>128.16</v>
      </c>
      <c r="L31">
        <v>1</v>
      </c>
      <c r="M31">
        <v>7</v>
      </c>
      <c r="N31">
        <v>6</v>
      </c>
      <c r="O31">
        <v>111</v>
      </c>
      <c r="P31">
        <v>39</v>
      </c>
    </row>
    <row r="32" spans="1:16" x14ac:dyDescent="0.35">
      <c r="A32" s="1" t="s">
        <v>332</v>
      </c>
      <c r="B32" s="1" t="s">
        <v>101</v>
      </c>
      <c r="C32" s="1" t="s">
        <v>22</v>
      </c>
      <c r="D32">
        <v>86</v>
      </c>
      <c r="E32">
        <v>75</v>
      </c>
      <c r="F32">
        <v>24</v>
      </c>
      <c r="G32">
        <v>1122</v>
      </c>
      <c r="H32" s="1" t="s">
        <v>323</v>
      </c>
      <c r="I32">
        <v>22</v>
      </c>
      <c r="J32">
        <v>685</v>
      </c>
      <c r="K32">
        <v>163.79</v>
      </c>
      <c r="L32">
        <v>0</v>
      </c>
      <c r="M32">
        <v>3</v>
      </c>
      <c r="N32">
        <v>9</v>
      </c>
      <c r="O32">
        <v>65</v>
      </c>
      <c r="P32">
        <v>95</v>
      </c>
    </row>
    <row r="33" spans="1:16" x14ac:dyDescent="0.35">
      <c r="A33" s="1" t="s">
        <v>312</v>
      </c>
      <c r="B33" s="1" t="s">
        <v>98</v>
      </c>
      <c r="C33" s="1" t="s">
        <v>261</v>
      </c>
      <c r="D33">
        <v>70</v>
      </c>
      <c r="E33">
        <v>64</v>
      </c>
      <c r="F33">
        <v>9</v>
      </c>
      <c r="G33">
        <v>1117</v>
      </c>
      <c r="H33" s="1" t="s">
        <v>301</v>
      </c>
      <c r="I33">
        <v>20.3</v>
      </c>
      <c r="J33">
        <v>938</v>
      </c>
      <c r="K33">
        <v>119.08</v>
      </c>
      <c r="L33">
        <v>0</v>
      </c>
      <c r="M33">
        <v>3</v>
      </c>
      <c r="N33">
        <v>6</v>
      </c>
      <c r="O33">
        <v>83</v>
      </c>
      <c r="P33">
        <v>38</v>
      </c>
    </row>
    <row r="34" spans="1:16" x14ac:dyDescent="0.35">
      <c r="A34" s="1" t="s">
        <v>313</v>
      </c>
      <c r="B34" s="1" t="s">
        <v>314</v>
      </c>
      <c r="C34" s="1" t="s">
        <v>34</v>
      </c>
      <c r="D34">
        <v>35</v>
      </c>
      <c r="E34">
        <v>34</v>
      </c>
      <c r="F34">
        <v>1</v>
      </c>
      <c r="G34">
        <v>1117</v>
      </c>
      <c r="H34" s="1" t="s">
        <v>9</v>
      </c>
      <c r="I34">
        <v>33.840000000000003</v>
      </c>
      <c r="J34">
        <v>912</v>
      </c>
      <c r="K34">
        <v>122.47</v>
      </c>
      <c r="L34">
        <v>1</v>
      </c>
      <c r="M34">
        <v>8</v>
      </c>
      <c r="N34">
        <v>2</v>
      </c>
      <c r="O34">
        <v>107</v>
      </c>
      <c r="P34">
        <v>28</v>
      </c>
    </row>
    <row r="35" spans="1:16" x14ac:dyDescent="0.35">
      <c r="A35" s="1" t="s">
        <v>378</v>
      </c>
      <c r="B35" s="1" t="s">
        <v>101</v>
      </c>
      <c r="C35" s="1" t="s">
        <v>112</v>
      </c>
      <c r="D35">
        <v>69</v>
      </c>
      <c r="E35">
        <v>59</v>
      </c>
      <c r="F35">
        <v>5</v>
      </c>
      <c r="G35">
        <v>1112</v>
      </c>
      <c r="H35" s="1" t="s">
        <v>219</v>
      </c>
      <c r="I35">
        <v>20.59</v>
      </c>
      <c r="J35">
        <v>882</v>
      </c>
      <c r="K35">
        <v>126.07</v>
      </c>
      <c r="L35">
        <v>0</v>
      </c>
      <c r="M35">
        <v>6</v>
      </c>
      <c r="N35">
        <v>4</v>
      </c>
      <c r="O35">
        <v>73</v>
      </c>
      <c r="P35">
        <v>60</v>
      </c>
    </row>
    <row r="36" spans="1:16" x14ac:dyDescent="0.35">
      <c r="A36" s="1" t="s">
        <v>428</v>
      </c>
      <c r="B36" s="1" t="s">
        <v>429</v>
      </c>
      <c r="C36" s="1" t="s">
        <v>34</v>
      </c>
      <c r="D36">
        <v>41</v>
      </c>
      <c r="E36">
        <v>39</v>
      </c>
      <c r="F36">
        <v>7</v>
      </c>
      <c r="G36">
        <v>1111</v>
      </c>
      <c r="H36" s="1" t="s">
        <v>40</v>
      </c>
      <c r="I36">
        <v>34.71</v>
      </c>
      <c r="J36">
        <v>896</v>
      </c>
      <c r="K36">
        <v>123.99</v>
      </c>
      <c r="L36">
        <v>2</v>
      </c>
      <c r="M36">
        <v>5</v>
      </c>
      <c r="N36">
        <v>3</v>
      </c>
      <c r="O36">
        <v>94</v>
      </c>
      <c r="P36">
        <v>62</v>
      </c>
    </row>
    <row r="37" spans="1:16" x14ac:dyDescent="0.35">
      <c r="A37" s="1" t="s">
        <v>319</v>
      </c>
      <c r="B37" s="1" t="s">
        <v>320</v>
      </c>
      <c r="C37" s="1" t="s">
        <v>34</v>
      </c>
      <c r="D37">
        <v>51</v>
      </c>
      <c r="E37">
        <v>49</v>
      </c>
      <c r="F37">
        <v>4</v>
      </c>
      <c r="G37">
        <v>1104</v>
      </c>
      <c r="H37" s="1" t="s">
        <v>9</v>
      </c>
      <c r="I37">
        <v>24.53</v>
      </c>
      <c r="J37">
        <v>925</v>
      </c>
      <c r="K37">
        <v>119.35</v>
      </c>
      <c r="L37">
        <v>1</v>
      </c>
      <c r="M37">
        <v>5</v>
      </c>
      <c r="N37">
        <v>4</v>
      </c>
      <c r="O37">
        <v>100</v>
      </c>
      <c r="P37">
        <v>48</v>
      </c>
    </row>
    <row r="38" spans="1:16" x14ac:dyDescent="0.35">
      <c r="A38" s="1" t="s">
        <v>321</v>
      </c>
      <c r="B38" s="1" t="s">
        <v>88</v>
      </c>
      <c r="C38" s="1" t="s">
        <v>82</v>
      </c>
      <c r="D38">
        <v>51</v>
      </c>
      <c r="E38">
        <v>47</v>
      </c>
      <c r="F38">
        <v>11</v>
      </c>
      <c r="G38">
        <v>1104</v>
      </c>
      <c r="H38" s="1" t="s">
        <v>206</v>
      </c>
      <c r="I38">
        <v>30.66</v>
      </c>
      <c r="J38">
        <v>811</v>
      </c>
      <c r="K38">
        <v>136.12</v>
      </c>
      <c r="L38">
        <v>0</v>
      </c>
      <c r="M38">
        <v>8</v>
      </c>
      <c r="N38">
        <v>4</v>
      </c>
      <c r="O38">
        <v>90</v>
      </c>
      <c r="P38">
        <v>44</v>
      </c>
    </row>
    <row r="39" spans="1:16" x14ac:dyDescent="0.35">
      <c r="A39" s="1" t="s">
        <v>325</v>
      </c>
      <c r="B39" s="1" t="s">
        <v>93</v>
      </c>
      <c r="C39" s="1" t="s">
        <v>20</v>
      </c>
      <c r="D39">
        <v>67</v>
      </c>
      <c r="E39">
        <v>55</v>
      </c>
      <c r="F39">
        <v>11</v>
      </c>
      <c r="G39">
        <v>1094</v>
      </c>
      <c r="H39" s="1" t="s">
        <v>130</v>
      </c>
      <c r="I39">
        <v>24.86</v>
      </c>
      <c r="J39">
        <v>872</v>
      </c>
      <c r="K39">
        <v>125.45</v>
      </c>
      <c r="L39">
        <v>0</v>
      </c>
      <c r="M39">
        <v>5</v>
      </c>
      <c r="N39">
        <v>1</v>
      </c>
      <c r="O39">
        <v>96</v>
      </c>
      <c r="P39">
        <v>26</v>
      </c>
    </row>
    <row r="40" spans="1:16" x14ac:dyDescent="0.35">
      <c r="A40" s="1" t="s">
        <v>335</v>
      </c>
      <c r="B40" s="1" t="s">
        <v>336</v>
      </c>
      <c r="C40" s="1" t="s">
        <v>38</v>
      </c>
      <c r="D40">
        <v>45</v>
      </c>
      <c r="E40">
        <v>44</v>
      </c>
      <c r="F40">
        <v>4</v>
      </c>
      <c r="G40">
        <v>1093</v>
      </c>
      <c r="H40" s="1" t="s">
        <v>48</v>
      </c>
      <c r="I40">
        <v>27.32</v>
      </c>
      <c r="J40">
        <v>962</v>
      </c>
      <c r="K40">
        <v>113.61</v>
      </c>
      <c r="L40">
        <v>0</v>
      </c>
      <c r="M40">
        <v>12</v>
      </c>
      <c r="N40">
        <v>5</v>
      </c>
      <c r="O40">
        <v>111</v>
      </c>
      <c r="P40">
        <v>17</v>
      </c>
    </row>
    <row r="41" spans="1:16" x14ac:dyDescent="0.35">
      <c r="A41" s="1" t="s">
        <v>391</v>
      </c>
      <c r="B41" s="1" t="s">
        <v>149</v>
      </c>
      <c r="C41" s="1" t="s">
        <v>78</v>
      </c>
      <c r="D41">
        <v>59</v>
      </c>
      <c r="E41">
        <v>51</v>
      </c>
      <c r="F41">
        <v>7</v>
      </c>
      <c r="G41">
        <v>1091</v>
      </c>
      <c r="H41" s="1" t="s">
        <v>578</v>
      </c>
      <c r="I41">
        <v>24.79</v>
      </c>
      <c r="J41">
        <v>977</v>
      </c>
      <c r="K41">
        <v>111.66</v>
      </c>
      <c r="L41">
        <v>0</v>
      </c>
      <c r="M41">
        <v>5</v>
      </c>
      <c r="N41">
        <v>6</v>
      </c>
      <c r="O41">
        <v>91</v>
      </c>
      <c r="P41">
        <v>33</v>
      </c>
    </row>
    <row r="42" spans="1:16" x14ac:dyDescent="0.35">
      <c r="A42" s="1" t="s">
        <v>416</v>
      </c>
      <c r="B42" s="1" t="s">
        <v>417</v>
      </c>
      <c r="C42" s="1" t="s">
        <v>34</v>
      </c>
      <c r="D42">
        <v>47</v>
      </c>
      <c r="E42">
        <v>43</v>
      </c>
      <c r="F42">
        <v>15</v>
      </c>
      <c r="G42">
        <v>1088</v>
      </c>
      <c r="H42" s="1" t="s">
        <v>110</v>
      </c>
      <c r="I42">
        <v>38.85</v>
      </c>
      <c r="J42">
        <v>901</v>
      </c>
      <c r="K42">
        <v>120.75</v>
      </c>
      <c r="L42">
        <v>0</v>
      </c>
      <c r="M42">
        <v>6</v>
      </c>
      <c r="N42">
        <v>1</v>
      </c>
      <c r="O42">
        <v>93</v>
      </c>
      <c r="P42">
        <v>21</v>
      </c>
    </row>
    <row r="43" spans="1:16" x14ac:dyDescent="0.35">
      <c r="A43" s="1" t="s">
        <v>328</v>
      </c>
      <c r="B43" s="1" t="s">
        <v>91</v>
      </c>
      <c r="C43" s="1" t="s">
        <v>329</v>
      </c>
      <c r="D43">
        <v>61</v>
      </c>
      <c r="E43">
        <v>59</v>
      </c>
      <c r="F43">
        <v>6</v>
      </c>
      <c r="G43">
        <v>1079</v>
      </c>
      <c r="H43" s="1" t="s">
        <v>330</v>
      </c>
      <c r="I43">
        <v>20.350000000000001</v>
      </c>
      <c r="J43">
        <v>971</v>
      </c>
      <c r="K43">
        <v>111.12</v>
      </c>
      <c r="L43">
        <v>0</v>
      </c>
      <c r="M43">
        <v>3</v>
      </c>
      <c r="N43">
        <v>5</v>
      </c>
      <c r="O43">
        <v>120</v>
      </c>
      <c r="P43">
        <v>23</v>
      </c>
    </row>
    <row r="44" spans="1:16" x14ac:dyDescent="0.35">
      <c r="A44" s="1" t="s">
        <v>511</v>
      </c>
      <c r="B44" s="1" t="s">
        <v>89</v>
      </c>
      <c r="C44" s="1" t="s">
        <v>317</v>
      </c>
      <c r="D44">
        <v>56</v>
      </c>
      <c r="E44">
        <v>54</v>
      </c>
      <c r="F44">
        <v>3</v>
      </c>
      <c r="G44">
        <v>1079</v>
      </c>
      <c r="H44" s="1" t="s">
        <v>197</v>
      </c>
      <c r="I44">
        <v>21.15</v>
      </c>
      <c r="J44">
        <v>811</v>
      </c>
      <c r="K44">
        <v>133.04</v>
      </c>
      <c r="L44">
        <v>0</v>
      </c>
      <c r="M44">
        <v>5</v>
      </c>
      <c r="N44">
        <v>10</v>
      </c>
      <c r="O44">
        <v>111</v>
      </c>
      <c r="P44">
        <v>50</v>
      </c>
    </row>
    <row r="45" spans="1:16" x14ac:dyDescent="0.35">
      <c r="A45" s="1" t="s">
        <v>368</v>
      </c>
      <c r="B45" s="1" t="s">
        <v>94</v>
      </c>
      <c r="C45" s="1" t="s">
        <v>34</v>
      </c>
      <c r="D45">
        <v>108</v>
      </c>
      <c r="E45">
        <v>85</v>
      </c>
      <c r="F45">
        <v>22</v>
      </c>
      <c r="G45">
        <v>1072</v>
      </c>
      <c r="H45" s="1" t="s">
        <v>369</v>
      </c>
      <c r="I45">
        <v>17.010000000000002</v>
      </c>
      <c r="J45">
        <v>935</v>
      </c>
      <c r="K45">
        <v>114.65</v>
      </c>
      <c r="L45">
        <v>0</v>
      </c>
      <c r="M45">
        <v>1</v>
      </c>
      <c r="N45">
        <v>5</v>
      </c>
      <c r="O45">
        <v>73</v>
      </c>
      <c r="P45">
        <v>39</v>
      </c>
    </row>
    <row r="46" spans="1:16" x14ac:dyDescent="0.35">
      <c r="A46" s="1" t="s">
        <v>389</v>
      </c>
      <c r="B46" s="1" t="s">
        <v>225</v>
      </c>
      <c r="C46" s="1" t="s">
        <v>34</v>
      </c>
      <c r="D46">
        <v>96</v>
      </c>
      <c r="E46">
        <v>64</v>
      </c>
      <c r="F46">
        <v>6</v>
      </c>
      <c r="G46">
        <v>1070</v>
      </c>
      <c r="H46" s="1" t="s">
        <v>390</v>
      </c>
      <c r="I46">
        <v>18.440000000000001</v>
      </c>
      <c r="J46">
        <v>859</v>
      </c>
      <c r="K46">
        <v>124.56</v>
      </c>
      <c r="L46">
        <v>0</v>
      </c>
      <c r="M46">
        <v>6</v>
      </c>
      <c r="N46">
        <v>9</v>
      </c>
      <c r="O46">
        <v>60</v>
      </c>
      <c r="P46">
        <v>74</v>
      </c>
    </row>
    <row r="47" spans="1:16" x14ac:dyDescent="0.35">
      <c r="A47" s="1" t="s">
        <v>339</v>
      </c>
      <c r="B47" s="1" t="s">
        <v>108</v>
      </c>
      <c r="C47" s="1" t="s">
        <v>292</v>
      </c>
      <c r="D47">
        <v>69</v>
      </c>
      <c r="E47">
        <v>62</v>
      </c>
      <c r="F47">
        <v>7</v>
      </c>
      <c r="G47">
        <v>1066</v>
      </c>
      <c r="H47" s="1" t="s">
        <v>245</v>
      </c>
      <c r="I47">
        <v>19.38</v>
      </c>
      <c r="J47">
        <v>1030</v>
      </c>
      <c r="K47">
        <v>103.49</v>
      </c>
      <c r="L47">
        <v>0</v>
      </c>
      <c r="M47">
        <v>6</v>
      </c>
      <c r="N47">
        <v>0</v>
      </c>
      <c r="O47">
        <v>90</v>
      </c>
      <c r="P47">
        <v>22</v>
      </c>
    </row>
    <row r="48" spans="1:16" x14ac:dyDescent="0.35">
      <c r="A48" s="1" t="s">
        <v>509</v>
      </c>
      <c r="B48" s="1" t="s">
        <v>98</v>
      </c>
      <c r="C48" s="1" t="s">
        <v>488</v>
      </c>
      <c r="D48">
        <v>44</v>
      </c>
      <c r="E48">
        <v>44</v>
      </c>
      <c r="F48">
        <v>4</v>
      </c>
      <c r="G48">
        <v>1065</v>
      </c>
      <c r="H48" s="1" t="s">
        <v>60</v>
      </c>
      <c r="I48">
        <v>26.62</v>
      </c>
      <c r="J48">
        <v>839</v>
      </c>
      <c r="K48">
        <v>126.93</v>
      </c>
      <c r="L48">
        <v>0</v>
      </c>
      <c r="M48">
        <v>10</v>
      </c>
      <c r="N48">
        <v>6</v>
      </c>
      <c r="O48">
        <v>97</v>
      </c>
      <c r="P48">
        <v>49</v>
      </c>
    </row>
    <row r="49" spans="1:16" x14ac:dyDescent="0.35">
      <c r="A49" s="1" t="s">
        <v>366</v>
      </c>
      <c r="B49" s="1" t="s">
        <v>217</v>
      </c>
      <c r="C49" s="1" t="s">
        <v>177</v>
      </c>
      <c r="D49">
        <v>55</v>
      </c>
      <c r="E49">
        <v>50</v>
      </c>
      <c r="F49">
        <v>10</v>
      </c>
      <c r="G49">
        <v>1063</v>
      </c>
      <c r="H49" s="1" t="s">
        <v>208</v>
      </c>
      <c r="I49">
        <v>26.57</v>
      </c>
      <c r="J49">
        <v>951</v>
      </c>
      <c r="K49">
        <v>111.77</v>
      </c>
      <c r="L49">
        <v>0</v>
      </c>
      <c r="M49">
        <v>6</v>
      </c>
      <c r="N49">
        <v>2</v>
      </c>
      <c r="O49">
        <v>96</v>
      </c>
      <c r="P49">
        <v>18</v>
      </c>
    </row>
    <row r="50" spans="1:16" x14ac:dyDescent="0.35">
      <c r="A50" s="1" t="s">
        <v>469</v>
      </c>
      <c r="B50" s="1" t="s">
        <v>289</v>
      </c>
      <c r="C50" s="1" t="s">
        <v>169</v>
      </c>
      <c r="D50">
        <v>52</v>
      </c>
      <c r="E50">
        <v>46</v>
      </c>
      <c r="F50">
        <v>11</v>
      </c>
      <c r="G50">
        <v>1058</v>
      </c>
      <c r="H50" s="1" t="s">
        <v>184</v>
      </c>
      <c r="I50">
        <v>30.22</v>
      </c>
      <c r="J50">
        <v>819</v>
      </c>
      <c r="K50">
        <v>129.18</v>
      </c>
      <c r="L50">
        <v>0</v>
      </c>
      <c r="M50">
        <v>5</v>
      </c>
      <c r="N50">
        <v>4</v>
      </c>
      <c r="O50">
        <v>91</v>
      </c>
      <c r="P50">
        <v>27</v>
      </c>
    </row>
    <row r="51" spans="1:16" x14ac:dyDescent="0.35">
      <c r="A51" s="1" t="s">
        <v>513</v>
      </c>
      <c r="B51" s="1" t="s">
        <v>225</v>
      </c>
      <c r="C51" s="1" t="s">
        <v>488</v>
      </c>
      <c r="D51">
        <v>40</v>
      </c>
      <c r="E51">
        <v>38</v>
      </c>
      <c r="F51">
        <v>4</v>
      </c>
      <c r="G51">
        <v>1054</v>
      </c>
      <c r="H51" s="1" t="s">
        <v>31</v>
      </c>
      <c r="I51">
        <v>31</v>
      </c>
      <c r="J51">
        <v>757</v>
      </c>
      <c r="K51">
        <v>139.22999999999999</v>
      </c>
      <c r="L51">
        <v>1</v>
      </c>
      <c r="M51">
        <v>6</v>
      </c>
      <c r="N51">
        <v>3</v>
      </c>
      <c r="O51">
        <v>91</v>
      </c>
      <c r="P51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EAC36-FFF4-4F62-A944-22952E0854D2}">
  <sheetPr codeName="Sheet5"/>
  <dimension ref="A1:P51"/>
  <sheetViews>
    <sheetView topLeftCell="A76" workbookViewId="0">
      <selection sqref="A1:P51"/>
    </sheetView>
  </sheetViews>
  <sheetFormatPr defaultRowHeight="14.5" x14ac:dyDescent="0.35"/>
  <cols>
    <col min="1" max="1" width="20.1796875" bestFit="1" customWidth="1"/>
    <col min="2" max="2" width="9.81640625" bestFit="1" customWidth="1"/>
    <col min="3" max="3" width="9.453125" bestFit="1" customWidth="1"/>
    <col min="4" max="4" width="6.54296875" bestFit="1" customWidth="1"/>
    <col min="5" max="5" width="6.6328125" bestFit="1" customWidth="1"/>
    <col min="6" max="6" width="5.7265625" bestFit="1" customWidth="1"/>
    <col min="7" max="7" width="7.1796875" bestFit="1" customWidth="1"/>
    <col min="8" max="8" width="5.26953125" bestFit="1" customWidth="1"/>
    <col min="9" max="9" width="6.1796875" bestFit="1" customWidth="1"/>
    <col min="10" max="10" width="5.08984375" bestFit="1" customWidth="1"/>
    <col min="11" max="11" width="6.81640625" bestFit="1" customWidth="1"/>
    <col min="12" max="12" width="6.08984375" bestFit="1" customWidth="1"/>
    <col min="13" max="13" width="5.08984375" bestFit="1" customWidth="1"/>
    <col min="14" max="14" width="4.08984375" bestFit="1" customWidth="1"/>
    <col min="15" max="16" width="4.90625" bestFit="1" customWidth="1"/>
  </cols>
  <sheetData>
    <row r="1" spans="1:16" x14ac:dyDescent="0.35">
      <c r="A1" t="s">
        <v>86</v>
      </c>
      <c r="B1" t="s">
        <v>87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</row>
    <row r="2" spans="1:16" x14ac:dyDescent="0.35">
      <c r="A2" s="1" t="s">
        <v>343</v>
      </c>
      <c r="B2" s="1" t="s">
        <v>336</v>
      </c>
      <c r="C2" s="1" t="s">
        <v>118</v>
      </c>
      <c r="D2">
        <v>39</v>
      </c>
      <c r="E2">
        <v>37</v>
      </c>
      <c r="F2">
        <v>7</v>
      </c>
      <c r="G2">
        <v>1054</v>
      </c>
      <c r="H2" s="1" t="s">
        <v>150</v>
      </c>
      <c r="I2">
        <v>35.130000000000003</v>
      </c>
      <c r="J2">
        <v>915</v>
      </c>
      <c r="K2">
        <v>115.19</v>
      </c>
      <c r="L2">
        <v>1</v>
      </c>
      <c r="M2">
        <v>6</v>
      </c>
      <c r="N2">
        <v>2</v>
      </c>
      <c r="O2">
        <v>95</v>
      </c>
      <c r="P2">
        <v>17</v>
      </c>
    </row>
    <row r="3" spans="1:16" x14ac:dyDescent="0.35">
      <c r="A3" s="1" t="s">
        <v>344</v>
      </c>
      <c r="B3" s="1" t="s">
        <v>127</v>
      </c>
      <c r="C3" s="1" t="s">
        <v>118</v>
      </c>
      <c r="D3">
        <v>56</v>
      </c>
      <c r="E3">
        <v>54</v>
      </c>
      <c r="F3">
        <v>10</v>
      </c>
      <c r="G3">
        <v>1054</v>
      </c>
      <c r="H3" s="1" t="s">
        <v>51</v>
      </c>
      <c r="I3">
        <v>23.95</v>
      </c>
      <c r="J3">
        <v>874</v>
      </c>
      <c r="K3">
        <v>120.59</v>
      </c>
      <c r="L3">
        <v>0</v>
      </c>
      <c r="M3">
        <v>3</v>
      </c>
      <c r="N3">
        <v>6</v>
      </c>
      <c r="O3">
        <v>110</v>
      </c>
      <c r="P3">
        <v>23</v>
      </c>
    </row>
    <row r="4" spans="1:16" x14ac:dyDescent="0.35">
      <c r="A4" s="1" t="s">
        <v>345</v>
      </c>
      <c r="B4" s="1" t="s">
        <v>95</v>
      </c>
      <c r="C4" s="1" t="s">
        <v>223</v>
      </c>
      <c r="D4">
        <v>48</v>
      </c>
      <c r="E4">
        <v>43</v>
      </c>
      <c r="F4">
        <v>5</v>
      </c>
      <c r="G4">
        <v>1052</v>
      </c>
      <c r="H4" s="1" t="s">
        <v>174</v>
      </c>
      <c r="I4">
        <v>27.68</v>
      </c>
      <c r="J4">
        <v>936</v>
      </c>
      <c r="K4">
        <v>112.39</v>
      </c>
      <c r="L4">
        <v>0</v>
      </c>
      <c r="M4">
        <v>6</v>
      </c>
      <c r="N4">
        <v>4</v>
      </c>
      <c r="O4">
        <v>105</v>
      </c>
      <c r="P4">
        <v>23</v>
      </c>
    </row>
    <row r="5" spans="1:16" x14ac:dyDescent="0.35">
      <c r="A5" s="1" t="s">
        <v>346</v>
      </c>
      <c r="B5" s="1" t="s">
        <v>225</v>
      </c>
      <c r="C5" s="1" t="s">
        <v>118</v>
      </c>
      <c r="D5">
        <v>52</v>
      </c>
      <c r="E5">
        <v>52</v>
      </c>
      <c r="F5">
        <v>3</v>
      </c>
      <c r="G5">
        <v>1050</v>
      </c>
      <c r="H5" s="1" t="s">
        <v>347</v>
      </c>
      <c r="I5">
        <v>21.42</v>
      </c>
      <c r="J5">
        <v>722</v>
      </c>
      <c r="K5">
        <v>145.41999999999999</v>
      </c>
      <c r="L5">
        <v>0</v>
      </c>
      <c r="M5">
        <v>6</v>
      </c>
      <c r="N5">
        <v>4</v>
      </c>
      <c r="O5">
        <v>91</v>
      </c>
      <c r="P5">
        <v>78</v>
      </c>
    </row>
    <row r="6" spans="1:16" x14ac:dyDescent="0.35">
      <c r="A6" s="1" t="s">
        <v>348</v>
      </c>
      <c r="B6" s="1" t="s">
        <v>349</v>
      </c>
      <c r="C6" s="1" t="s">
        <v>317</v>
      </c>
      <c r="D6">
        <v>36</v>
      </c>
      <c r="E6">
        <v>33</v>
      </c>
      <c r="F6">
        <v>6</v>
      </c>
      <c r="G6">
        <v>1049</v>
      </c>
      <c r="H6" s="1" t="s">
        <v>266</v>
      </c>
      <c r="I6">
        <v>38.85</v>
      </c>
      <c r="J6">
        <v>711</v>
      </c>
      <c r="K6">
        <v>147.53</v>
      </c>
      <c r="L6">
        <v>0</v>
      </c>
      <c r="M6">
        <v>6</v>
      </c>
      <c r="N6">
        <v>1</v>
      </c>
      <c r="O6">
        <v>95</v>
      </c>
      <c r="P6">
        <v>57</v>
      </c>
    </row>
    <row r="7" spans="1:16" x14ac:dyDescent="0.35">
      <c r="A7" s="1" t="s">
        <v>579</v>
      </c>
      <c r="B7" s="1" t="s">
        <v>164</v>
      </c>
      <c r="C7" s="1" t="s">
        <v>34</v>
      </c>
      <c r="D7">
        <v>74</v>
      </c>
      <c r="E7">
        <v>55</v>
      </c>
      <c r="F7">
        <v>13</v>
      </c>
      <c r="G7">
        <v>1041</v>
      </c>
      <c r="H7" s="1" t="s">
        <v>580</v>
      </c>
      <c r="I7">
        <v>24.78</v>
      </c>
      <c r="J7">
        <v>836</v>
      </c>
      <c r="K7">
        <v>124.52</v>
      </c>
      <c r="L7">
        <v>1</v>
      </c>
      <c r="M7">
        <v>2</v>
      </c>
      <c r="N7">
        <v>3</v>
      </c>
      <c r="O7">
        <v>89</v>
      </c>
      <c r="P7">
        <v>29</v>
      </c>
    </row>
    <row r="8" spans="1:16" x14ac:dyDescent="0.35">
      <c r="A8" s="1" t="s">
        <v>350</v>
      </c>
      <c r="B8" s="1" t="s">
        <v>351</v>
      </c>
      <c r="C8" s="1" t="s">
        <v>118</v>
      </c>
      <c r="D8">
        <v>39</v>
      </c>
      <c r="E8">
        <v>39</v>
      </c>
      <c r="F8">
        <v>6</v>
      </c>
      <c r="G8">
        <v>1031</v>
      </c>
      <c r="H8" s="1" t="s">
        <v>9</v>
      </c>
      <c r="I8">
        <v>31.24</v>
      </c>
      <c r="J8">
        <v>868</v>
      </c>
      <c r="K8">
        <v>118.77</v>
      </c>
      <c r="L8">
        <v>1</v>
      </c>
      <c r="M8">
        <v>6</v>
      </c>
      <c r="N8">
        <v>1</v>
      </c>
      <c r="O8">
        <v>80</v>
      </c>
      <c r="P8">
        <v>42</v>
      </c>
    </row>
    <row r="9" spans="1:16" x14ac:dyDescent="0.35">
      <c r="A9" s="1" t="s">
        <v>352</v>
      </c>
      <c r="B9" s="1" t="s">
        <v>149</v>
      </c>
      <c r="C9" s="1" t="s">
        <v>28</v>
      </c>
      <c r="D9">
        <v>59</v>
      </c>
      <c r="E9">
        <v>51</v>
      </c>
      <c r="F9">
        <v>9</v>
      </c>
      <c r="G9">
        <v>1028</v>
      </c>
      <c r="H9" s="1" t="s">
        <v>184</v>
      </c>
      <c r="I9">
        <v>24.47</v>
      </c>
      <c r="J9">
        <v>891</v>
      </c>
      <c r="K9">
        <v>115.37</v>
      </c>
      <c r="L9">
        <v>0</v>
      </c>
      <c r="M9">
        <v>5</v>
      </c>
      <c r="N9">
        <v>6</v>
      </c>
      <c r="O9">
        <v>75</v>
      </c>
      <c r="P9">
        <v>30</v>
      </c>
    </row>
    <row r="10" spans="1:16" x14ac:dyDescent="0.35">
      <c r="A10" s="1" t="s">
        <v>353</v>
      </c>
      <c r="B10" s="1" t="s">
        <v>247</v>
      </c>
      <c r="C10" s="1" t="s">
        <v>63</v>
      </c>
      <c r="D10">
        <v>62</v>
      </c>
      <c r="E10">
        <v>60</v>
      </c>
      <c r="F10">
        <v>3</v>
      </c>
      <c r="G10">
        <v>1028</v>
      </c>
      <c r="H10" s="1" t="s">
        <v>245</v>
      </c>
      <c r="I10">
        <v>18.03</v>
      </c>
      <c r="J10">
        <v>966</v>
      </c>
      <c r="K10">
        <v>106.41</v>
      </c>
      <c r="L10">
        <v>0</v>
      </c>
      <c r="M10">
        <v>4</v>
      </c>
      <c r="N10">
        <v>7</v>
      </c>
      <c r="O10">
        <v>104</v>
      </c>
      <c r="P10">
        <v>35</v>
      </c>
    </row>
    <row r="11" spans="1:16" x14ac:dyDescent="0.35">
      <c r="A11" s="1" t="s">
        <v>382</v>
      </c>
      <c r="B11" s="1" t="s">
        <v>105</v>
      </c>
      <c r="C11" s="1" t="s">
        <v>64</v>
      </c>
      <c r="D11">
        <v>96</v>
      </c>
      <c r="E11">
        <v>83</v>
      </c>
      <c r="F11">
        <v>17</v>
      </c>
      <c r="G11">
        <v>1026</v>
      </c>
      <c r="H11" s="1" t="s">
        <v>383</v>
      </c>
      <c r="I11">
        <v>15.54</v>
      </c>
      <c r="J11">
        <v>937</v>
      </c>
      <c r="K11">
        <v>109.49</v>
      </c>
      <c r="L11">
        <v>0</v>
      </c>
      <c r="M11">
        <v>0</v>
      </c>
      <c r="N11">
        <v>7</v>
      </c>
      <c r="O11">
        <v>71</v>
      </c>
      <c r="P11">
        <v>27</v>
      </c>
    </row>
    <row r="12" spans="1:16" x14ac:dyDescent="0.35">
      <c r="A12" s="1" t="s">
        <v>583</v>
      </c>
      <c r="B12" s="1" t="s">
        <v>274</v>
      </c>
      <c r="C12" s="1" t="s">
        <v>34</v>
      </c>
      <c r="D12">
        <v>79</v>
      </c>
      <c r="E12">
        <v>58</v>
      </c>
      <c r="F12">
        <v>15</v>
      </c>
      <c r="G12">
        <v>1021</v>
      </c>
      <c r="H12" s="1" t="s">
        <v>245</v>
      </c>
      <c r="I12">
        <v>23.74</v>
      </c>
      <c r="J12">
        <v>860</v>
      </c>
      <c r="K12">
        <v>118.72</v>
      </c>
      <c r="L12">
        <v>0</v>
      </c>
      <c r="M12">
        <v>4</v>
      </c>
      <c r="N12">
        <v>4</v>
      </c>
      <c r="O12">
        <v>80</v>
      </c>
      <c r="P12">
        <v>35</v>
      </c>
    </row>
    <row r="13" spans="1:16" x14ac:dyDescent="0.35">
      <c r="A13" s="1" t="s">
        <v>356</v>
      </c>
      <c r="B13" s="1" t="s">
        <v>103</v>
      </c>
      <c r="C13" s="1" t="s">
        <v>340</v>
      </c>
      <c r="D13">
        <v>65</v>
      </c>
      <c r="E13">
        <v>56</v>
      </c>
      <c r="F13">
        <v>10</v>
      </c>
      <c r="G13">
        <v>1013</v>
      </c>
      <c r="H13" s="1" t="s">
        <v>210</v>
      </c>
      <c r="I13">
        <v>22.02</v>
      </c>
      <c r="J13">
        <v>858</v>
      </c>
      <c r="K13">
        <v>118.06</v>
      </c>
      <c r="L13">
        <v>0</v>
      </c>
      <c r="M13">
        <v>2</v>
      </c>
      <c r="N13">
        <v>2</v>
      </c>
      <c r="O13">
        <v>76</v>
      </c>
      <c r="P13">
        <v>37</v>
      </c>
    </row>
    <row r="14" spans="1:16" x14ac:dyDescent="0.35">
      <c r="A14" s="1" t="s">
        <v>512</v>
      </c>
      <c r="B14" s="1" t="s">
        <v>88</v>
      </c>
      <c r="C14" s="1" t="s">
        <v>488</v>
      </c>
      <c r="D14">
        <v>29</v>
      </c>
      <c r="E14">
        <v>28</v>
      </c>
      <c r="F14">
        <v>1</v>
      </c>
      <c r="G14">
        <v>1012</v>
      </c>
      <c r="H14" s="1" t="s">
        <v>489</v>
      </c>
      <c r="I14">
        <v>37.479999999999997</v>
      </c>
      <c r="J14">
        <v>534</v>
      </c>
      <c r="K14">
        <v>189.51</v>
      </c>
      <c r="L14">
        <v>2</v>
      </c>
      <c r="M14">
        <v>6</v>
      </c>
      <c r="N14">
        <v>1</v>
      </c>
      <c r="O14">
        <v>96</v>
      </c>
      <c r="P14">
        <v>66</v>
      </c>
    </row>
    <row r="15" spans="1:16" x14ac:dyDescent="0.35">
      <c r="A15" s="1" t="s">
        <v>434</v>
      </c>
      <c r="B15" s="1" t="s">
        <v>90</v>
      </c>
      <c r="C15" s="1" t="s">
        <v>177</v>
      </c>
      <c r="D15">
        <v>52</v>
      </c>
      <c r="E15">
        <v>44</v>
      </c>
      <c r="F15">
        <v>11</v>
      </c>
      <c r="G15">
        <v>1012</v>
      </c>
      <c r="H15" s="1" t="s">
        <v>219</v>
      </c>
      <c r="I15">
        <v>30.66</v>
      </c>
      <c r="J15">
        <v>667</v>
      </c>
      <c r="K15">
        <v>151.72</v>
      </c>
      <c r="L15">
        <v>0</v>
      </c>
      <c r="M15">
        <v>5</v>
      </c>
      <c r="N15">
        <v>1</v>
      </c>
      <c r="O15">
        <v>82</v>
      </c>
      <c r="P15">
        <v>46</v>
      </c>
    </row>
    <row r="16" spans="1:16" x14ac:dyDescent="0.35">
      <c r="A16" s="1" t="s">
        <v>393</v>
      </c>
      <c r="B16" s="1" t="s">
        <v>92</v>
      </c>
      <c r="C16" s="1" t="s">
        <v>394</v>
      </c>
      <c r="D16">
        <v>93</v>
      </c>
      <c r="E16">
        <v>71</v>
      </c>
      <c r="F16">
        <v>21</v>
      </c>
      <c r="G16">
        <v>1010</v>
      </c>
      <c r="H16" s="1" t="s">
        <v>383</v>
      </c>
      <c r="I16">
        <v>20.2</v>
      </c>
      <c r="J16">
        <v>675</v>
      </c>
      <c r="K16">
        <v>149.62</v>
      </c>
      <c r="L16">
        <v>0</v>
      </c>
      <c r="M16">
        <v>0</v>
      </c>
      <c r="N16">
        <v>7</v>
      </c>
      <c r="O16">
        <v>77</v>
      </c>
      <c r="P16">
        <v>54</v>
      </c>
    </row>
    <row r="17" spans="1:16" x14ac:dyDescent="0.35">
      <c r="A17" s="1" t="s">
        <v>357</v>
      </c>
      <c r="B17" s="1" t="s">
        <v>95</v>
      </c>
      <c r="C17" s="1" t="s">
        <v>358</v>
      </c>
      <c r="D17">
        <v>58</v>
      </c>
      <c r="E17">
        <v>53</v>
      </c>
      <c r="F17">
        <v>5</v>
      </c>
      <c r="G17">
        <v>1006</v>
      </c>
      <c r="H17" s="1" t="s">
        <v>359</v>
      </c>
      <c r="I17">
        <v>20.95</v>
      </c>
      <c r="J17">
        <v>827</v>
      </c>
      <c r="K17">
        <v>121.64</v>
      </c>
      <c r="L17">
        <v>0</v>
      </c>
      <c r="M17">
        <v>4</v>
      </c>
      <c r="N17">
        <v>7</v>
      </c>
      <c r="O17">
        <v>108</v>
      </c>
      <c r="P17">
        <v>27</v>
      </c>
    </row>
    <row r="18" spans="1:16" x14ac:dyDescent="0.35">
      <c r="A18" s="1" t="s">
        <v>360</v>
      </c>
      <c r="B18" s="1" t="s">
        <v>361</v>
      </c>
      <c r="C18" s="1" t="s">
        <v>118</v>
      </c>
      <c r="D18">
        <v>38</v>
      </c>
      <c r="E18">
        <v>37</v>
      </c>
      <c r="F18">
        <v>5</v>
      </c>
      <c r="G18">
        <v>1005</v>
      </c>
      <c r="H18" s="1" t="s">
        <v>362</v>
      </c>
      <c r="I18">
        <v>31.4</v>
      </c>
      <c r="J18">
        <v>800</v>
      </c>
      <c r="K18">
        <v>125.62</v>
      </c>
      <c r="L18">
        <v>1</v>
      </c>
      <c r="M18">
        <v>5</v>
      </c>
      <c r="N18">
        <v>3</v>
      </c>
      <c r="O18">
        <v>100</v>
      </c>
      <c r="P18">
        <v>38</v>
      </c>
    </row>
    <row r="19" spans="1:16" x14ac:dyDescent="0.35">
      <c r="A19" s="1" t="s">
        <v>409</v>
      </c>
      <c r="B19" s="1" t="s">
        <v>111</v>
      </c>
      <c r="C19" s="1" t="s">
        <v>34</v>
      </c>
      <c r="D19">
        <v>59</v>
      </c>
      <c r="E19">
        <v>53</v>
      </c>
      <c r="F19">
        <v>10</v>
      </c>
      <c r="G19">
        <v>1003</v>
      </c>
      <c r="H19" s="1" t="s">
        <v>410</v>
      </c>
      <c r="I19">
        <v>23.32</v>
      </c>
      <c r="J19">
        <v>724</v>
      </c>
      <c r="K19">
        <v>138.53</v>
      </c>
      <c r="L19">
        <v>1</v>
      </c>
      <c r="M19">
        <v>4</v>
      </c>
      <c r="N19">
        <v>4</v>
      </c>
      <c r="O19">
        <v>54</v>
      </c>
      <c r="P19">
        <v>69</v>
      </c>
    </row>
    <row r="20" spans="1:16" x14ac:dyDescent="0.35">
      <c r="A20" s="1" t="s">
        <v>363</v>
      </c>
      <c r="B20" s="1" t="s">
        <v>97</v>
      </c>
      <c r="C20" s="1" t="s">
        <v>261</v>
      </c>
      <c r="D20">
        <v>58</v>
      </c>
      <c r="E20">
        <v>53</v>
      </c>
      <c r="F20">
        <v>10</v>
      </c>
      <c r="G20">
        <v>1000</v>
      </c>
      <c r="H20" s="1" t="s">
        <v>65</v>
      </c>
      <c r="I20">
        <v>23.25</v>
      </c>
      <c r="J20">
        <v>705</v>
      </c>
      <c r="K20">
        <v>141.84</v>
      </c>
      <c r="L20">
        <v>0</v>
      </c>
      <c r="M20">
        <v>5</v>
      </c>
      <c r="N20">
        <v>2</v>
      </c>
      <c r="O20">
        <v>72</v>
      </c>
      <c r="P20">
        <v>52</v>
      </c>
    </row>
    <row r="21" spans="1:16" x14ac:dyDescent="0.35">
      <c r="A21" s="1" t="s">
        <v>364</v>
      </c>
      <c r="B21" s="1" t="s">
        <v>89</v>
      </c>
      <c r="C21" s="1" t="s">
        <v>18</v>
      </c>
      <c r="D21">
        <v>66</v>
      </c>
      <c r="E21">
        <v>55</v>
      </c>
      <c r="F21">
        <v>14</v>
      </c>
      <c r="G21">
        <v>998</v>
      </c>
      <c r="H21" s="1" t="s">
        <v>365</v>
      </c>
      <c r="I21">
        <v>24.34</v>
      </c>
      <c r="J21">
        <v>773</v>
      </c>
      <c r="K21">
        <v>129.1</v>
      </c>
      <c r="L21">
        <v>0</v>
      </c>
      <c r="M21">
        <v>4</v>
      </c>
      <c r="N21">
        <v>2</v>
      </c>
      <c r="O21">
        <v>66</v>
      </c>
      <c r="P21">
        <v>44</v>
      </c>
    </row>
    <row r="22" spans="1:16" x14ac:dyDescent="0.35">
      <c r="A22" s="1" t="s">
        <v>497</v>
      </c>
      <c r="B22" s="1" t="s">
        <v>88</v>
      </c>
      <c r="C22" s="1" t="s">
        <v>317</v>
      </c>
      <c r="D22">
        <v>36</v>
      </c>
      <c r="E22">
        <v>33</v>
      </c>
      <c r="F22">
        <v>12</v>
      </c>
      <c r="G22">
        <v>996</v>
      </c>
      <c r="H22" s="1" t="s">
        <v>498</v>
      </c>
      <c r="I22">
        <v>47.42</v>
      </c>
      <c r="J22">
        <v>679</v>
      </c>
      <c r="K22">
        <v>146.68</v>
      </c>
      <c r="L22">
        <v>2</v>
      </c>
      <c r="M22">
        <v>4</v>
      </c>
      <c r="N22">
        <v>4</v>
      </c>
      <c r="O22">
        <v>74</v>
      </c>
      <c r="P22">
        <v>54</v>
      </c>
    </row>
    <row r="23" spans="1:16" x14ac:dyDescent="0.35">
      <c r="A23" s="1" t="s">
        <v>436</v>
      </c>
      <c r="B23" s="1" t="s">
        <v>88</v>
      </c>
      <c r="C23" s="1" t="s">
        <v>61</v>
      </c>
      <c r="D23">
        <v>51</v>
      </c>
      <c r="E23">
        <v>43</v>
      </c>
      <c r="F23">
        <v>4</v>
      </c>
      <c r="G23">
        <v>995</v>
      </c>
      <c r="H23" s="1" t="s">
        <v>437</v>
      </c>
      <c r="I23">
        <v>25.51</v>
      </c>
      <c r="J23">
        <v>675</v>
      </c>
      <c r="K23">
        <v>147.4</v>
      </c>
      <c r="L23">
        <v>3</v>
      </c>
      <c r="M23">
        <v>3</v>
      </c>
      <c r="N23">
        <v>6</v>
      </c>
      <c r="O23">
        <v>78</v>
      </c>
      <c r="P23">
        <v>56</v>
      </c>
    </row>
    <row r="24" spans="1:16" x14ac:dyDescent="0.35">
      <c r="A24" s="1" t="s">
        <v>403</v>
      </c>
      <c r="B24" s="1" t="s">
        <v>242</v>
      </c>
      <c r="C24" s="1" t="s">
        <v>34</v>
      </c>
      <c r="D24">
        <v>37</v>
      </c>
      <c r="E24">
        <v>37</v>
      </c>
      <c r="F24">
        <v>3</v>
      </c>
      <c r="G24">
        <v>988</v>
      </c>
      <c r="H24" s="1" t="s">
        <v>404</v>
      </c>
      <c r="I24">
        <v>29.05</v>
      </c>
      <c r="J24">
        <v>695</v>
      </c>
      <c r="K24">
        <v>142.15</v>
      </c>
      <c r="L24">
        <v>0</v>
      </c>
      <c r="M24">
        <v>4</v>
      </c>
      <c r="N24">
        <v>3</v>
      </c>
      <c r="O24">
        <v>105</v>
      </c>
      <c r="P24">
        <v>27</v>
      </c>
    </row>
    <row r="25" spans="1:16" x14ac:dyDescent="0.35">
      <c r="A25" s="1" t="s">
        <v>372</v>
      </c>
      <c r="B25" s="1" t="s">
        <v>89</v>
      </c>
      <c r="C25" s="1" t="s">
        <v>140</v>
      </c>
      <c r="D25">
        <v>58</v>
      </c>
      <c r="E25">
        <v>53</v>
      </c>
      <c r="F25">
        <v>6</v>
      </c>
      <c r="G25">
        <v>987</v>
      </c>
      <c r="H25" s="1" t="s">
        <v>110</v>
      </c>
      <c r="I25">
        <v>21</v>
      </c>
      <c r="J25">
        <v>825</v>
      </c>
      <c r="K25">
        <v>119.63</v>
      </c>
      <c r="L25">
        <v>0</v>
      </c>
      <c r="M25">
        <v>5</v>
      </c>
      <c r="N25">
        <v>7</v>
      </c>
      <c r="O25">
        <v>100</v>
      </c>
      <c r="P25">
        <v>31</v>
      </c>
    </row>
    <row r="26" spans="1:16" x14ac:dyDescent="0.35">
      <c r="A26" s="1" t="s">
        <v>373</v>
      </c>
      <c r="B26" s="1" t="s">
        <v>98</v>
      </c>
      <c r="C26" s="1" t="s">
        <v>34</v>
      </c>
      <c r="D26">
        <v>50</v>
      </c>
      <c r="E26">
        <v>48</v>
      </c>
      <c r="F26">
        <v>5</v>
      </c>
      <c r="G26">
        <v>987</v>
      </c>
      <c r="H26" s="1" t="s">
        <v>323</v>
      </c>
      <c r="I26">
        <v>22.95</v>
      </c>
      <c r="J26">
        <v>905</v>
      </c>
      <c r="K26">
        <v>109.06</v>
      </c>
      <c r="L26">
        <v>0</v>
      </c>
      <c r="M26">
        <v>4</v>
      </c>
      <c r="N26">
        <v>0</v>
      </c>
      <c r="O26">
        <v>89</v>
      </c>
      <c r="P26">
        <v>20</v>
      </c>
    </row>
    <row r="27" spans="1:16" x14ac:dyDescent="0.35">
      <c r="A27" s="1" t="s">
        <v>396</v>
      </c>
      <c r="B27" s="1" t="s">
        <v>103</v>
      </c>
      <c r="C27" s="1" t="s">
        <v>394</v>
      </c>
      <c r="D27">
        <v>78</v>
      </c>
      <c r="E27">
        <v>67</v>
      </c>
      <c r="F27">
        <v>19</v>
      </c>
      <c r="G27">
        <v>986</v>
      </c>
      <c r="H27" s="1" t="s">
        <v>397</v>
      </c>
      <c r="I27">
        <v>20.54</v>
      </c>
      <c r="J27">
        <v>811</v>
      </c>
      <c r="K27">
        <v>121.57</v>
      </c>
      <c r="L27">
        <v>0</v>
      </c>
      <c r="M27">
        <v>3</v>
      </c>
      <c r="N27">
        <v>7</v>
      </c>
      <c r="O27">
        <v>74</v>
      </c>
      <c r="P27">
        <v>44</v>
      </c>
    </row>
    <row r="28" spans="1:16" x14ac:dyDescent="0.35">
      <c r="A28" s="1" t="s">
        <v>425</v>
      </c>
      <c r="B28" s="1" t="s">
        <v>426</v>
      </c>
      <c r="C28" s="1" t="s">
        <v>177</v>
      </c>
      <c r="D28">
        <v>27</v>
      </c>
      <c r="E28">
        <v>27</v>
      </c>
      <c r="F28">
        <v>4</v>
      </c>
      <c r="G28">
        <v>985</v>
      </c>
      <c r="H28" s="1" t="s">
        <v>427</v>
      </c>
      <c r="I28">
        <v>42.82</v>
      </c>
      <c r="J28">
        <v>675</v>
      </c>
      <c r="K28">
        <v>145.91999999999999</v>
      </c>
      <c r="L28">
        <v>2</v>
      </c>
      <c r="M28">
        <v>7</v>
      </c>
      <c r="N28">
        <v>1</v>
      </c>
      <c r="O28">
        <v>113</v>
      </c>
      <c r="P28">
        <v>29</v>
      </c>
    </row>
    <row r="29" spans="1:16" x14ac:dyDescent="0.35">
      <c r="A29" s="1" t="s">
        <v>374</v>
      </c>
      <c r="B29" s="1" t="s">
        <v>101</v>
      </c>
      <c r="C29" s="1" t="s">
        <v>152</v>
      </c>
      <c r="D29">
        <v>60</v>
      </c>
      <c r="E29">
        <v>57</v>
      </c>
      <c r="F29">
        <v>7</v>
      </c>
      <c r="G29">
        <v>984</v>
      </c>
      <c r="H29" s="1" t="s">
        <v>375</v>
      </c>
      <c r="I29">
        <v>19.68</v>
      </c>
      <c r="J29">
        <v>892</v>
      </c>
      <c r="K29">
        <v>110.31</v>
      </c>
      <c r="L29">
        <v>0</v>
      </c>
      <c r="M29">
        <v>6</v>
      </c>
      <c r="N29">
        <v>9</v>
      </c>
      <c r="O29">
        <v>67</v>
      </c>
      <c r="P29">
        <v>53</v>
      </c>
    </row>
    <row r="30" spans="1:16" x14ac:dyDescent="0.35">
      <c r="A30" s="1" t="s">
        <v>376</v>
      </c>
      <c r="B30" s="1" t="s">
        <v>93</v>
      </c>
      <c r="C30" s="1" t="s">
        <v>377</v>
      </c>
      <c r="D30">
        <v>47</v>
      </c>
      <c r="E30">
        <v>44</v>
      </c>
      <c r="F30">
        <v>14</v>
      </c>
      <c r="G30">
        <v>984</v>
      </c>
      <c r="H30" s="1" t="s">
        <v>192</v>
      </c>
      <c r="I30">
        <v>32.799999999999997</v>
      </c>
      <c r="J30">
        <v>740</v>
      </c>
      <c r="K30">
        <v>132.97</v>
      </c>
      <c r="L30">
        <v>0</v>
      </c>
      <c r="M30">
        <v>5</v>
      </c>
      <c r="N30">
        <v>3</v>
      </c>
      <c r="O30">
        <v>71</v>
      </c>
      <c r="P30">
        <v>44</v>
      </c>
    </row>
    <row r="31" spans="1:16" x14ac:dyDescent="0.35">
      <c r="A31" s="1" t="s">
        <v>379</v>
      </c>
      <c r="B31" s="1" t="s">
        <v>97</v>
      </c>
      <c r="C31" s="1" t="s">
        <v>380</v>
      </c>
      <c r="D31">
        <v>33</v>
      </c>
      <c r="E31">
        <v>33</v>
      </c>
      <c r="F31">
        <v>2</v>
      </c>
      <c r="G31">
        <v>982</v>
      </c>
      <c r="H31" s="1" t="s">
        <v>158</v>
      </c>
      <c r="I31">
        <v>31.67</v>
      </c>
      <c r="J31">
        <v>770</v>
      </c>
      <c r="K31">
        <v>127.53</v>
      </c>
      <c r="L31">
        <v>0</v>
      </c>
      <c r="M31">
        <v>5</v>
      </c>
      <c r="N31">
        <v>1</v>
      </c>
      <c r="O31">
        <v>123</v>
      </c>
      <c r="P31">
        <v>26</v>
      </c>
    </row>
    <row r="32" spans="1:16" x14ac:dyDescent="0.35">
      <c r="A32" s="1" t="s">
        <v>381</v>
      </c>
      <c r="B32" s="1" t="s">
        <v>98</v>
      </c>
      <c r="C32" s="1" t="s">
        <v>186</v>
      </c>
      <c r="D32">
        <v>48</v>
      </c>
      <c r="E32">
        <v>47</v>
      </c>
      <c r="F32">
        <v>5</v>
      </c>
      <c r="G32">
        <v>977</v>
      </c>
      <c r="H32" s="1" t="s">
        <v>282</v>
      </c>
      <c r="I32">
        <v>23.26</v>
      </c>
      <c r="J32">
        <v>819</v>
      </c>
      <c r="K32">
        <v>119.29</v>
      </c>
      <c r="L32">
        <v>0</v>
      </c>
      <c r="M32">
        <v>4</v>
      </c>
      <c r="N32">
        <v>3</v>
      </c>
      <c r="O32">
        <v>92</v>
      </c>
      <c r="P32">
        <v>29</v>
      </c>
    </row>
    <row r="33" spans="1:16" x14ac:dyDescent="0.35">
      <c r="A33" s="1" t="s">
        <v>385</v>
      </c>
      <c r="B33" s="1" t="s">
        <v>95</v>
      </c>
      <c r="C33" s="1" t="s">
        <v>386</v>
      </c>
      <c r="D33">
        <v>32</v>
      </c>
      <c r="E33">
        <v>32</v>
      </c>
      <c r="F33">
        <v>3</v>
      </c>
      <c r="G33">
        <v>971</v>
      </c>
      <c r="H33" s="1" t="s">
        <v>387</v>
      </c>
      <c r="I33">
        <v>33.479999999999997</v>
      </c>
      <c r="J33">
        <v>770</v>
      </c>
      <c r="K33">
        <v>126.1</v>
      </c>
      <c r="L33">
        <v>1</v>
      </c>
      <c r="M33">
        <v>6</v>
      </c>
      <c r="N33">
        <v>1</v>
      </c>
      <c r="O33">
        <v>75</v>
      </c>
      <c r="P33">
        <v>43</v>
      </c>
    </row>
    <row r="34" spans="1:16" x14ac:dyDescent="0.35">
      <c r="A34" s="1" t="s">
        <v>495</v>
      </c>
      <c r="B34" s="1" t="s">
        <v>371</v>
      </c>
      <c r="C34" s="1" t="s">
        <v>169</v>
      </c>
      <c r="D34">
        <v>43</v>
      </c>
      <c r="E34">
        <v>43</v>
      </c>
      <c r="F34">
        <v>2</v>
      </c>
      <c r="G34">
        <v>970</v>
      </c>
      <c r="H34" s="1" t="s">
        <v>110</v>
      </c>
      <c r="I34">
        <v>23.65</v>
      </c>
      <c r="J34">
        <v>794</v>
      </c>
      <c r="K34">
        <v>122.16</v>
      </c>
      <c r="L34">
        <v>0</v>
      </c>
      <c r="M34">
        <v>6</v>
      </c>
      <c r="N34">
        <v>9</v>
      </c>
      <c r="O34">
        <v>105</v>
      </c>
      <c r="P34">
        <v>33</v>
      </c>
    </row>
    <row r="35" spans="1:16" x14ac:dyDescent="0.35">
      <c r="A35" s="1" t="s">
        <v>388</v>
      </c>
      <c r="B35" s="1" t="s">
        <v>164</v>
      </c>
      <c r="C35" s="1" t="s">
        <v>34</v>
      </c>
      <c r="D35">
        <v>37</v>
      </c>
      <c r="E35">
        <v>37</v>
      </c>
      <c r="F35">
        <v>4</v>
      </c>
      <c r="G35">
        <v>969</v>
      </c>
      <c r="H35" s="1" t="s">
        <v>60</v>
      </c>
      <c r="I35">
        <v>29.36</v>
      </c>
      <c r="J35">
        <v>696</v>
      </c>
      <c r="K35">
        <v>139.22</v>
      </c>
      <c r="L35">
        <v>0</v>
      </c>
      <c r="M35">
        <v>6</v>
      </c>
      <c r="N35">
        <v>1</v>
      </c>
      <c r="O35">
        <v>103</v>
      </c>
      <c r="P35">
        <v>34</v>
      </c>
    </row>
    <row r="36" spans="1:16" x14ac:dyDescent="0.35">
      <c r="A36" s="1" t="s">
        <v>519</v>
      </c>
      <c r="B36" s="1" t="s">
        <v>482</v>
      </c>
      <c r="C36" s="1" t="s">
        <v>177</v>
      </c>
      <c r="D36">
        <v>58</v>
      </c>
      <c r="E36">
        <v>55</v>
      </c>
      <c r="F36">
        <v>7</v>
      </c>
      <c r="G36">
        <v>966</v>
      </c>
      <c r="H36" s="1" t="s">
        <v>259</v>
      </c>
      <c r="I36">
        <v>20.12</v>
      </c>
      <c r="J36">
        <v>906</v>
      </c>
      <c r="K36">
        <v>106.62</v>
      </c>
      <c r="L36">
        <v>0</v>
      </c>
      <c r="M36">
        <v>5</v>
      </c>
      <c r="N36">
        <v>7</v>
      </c>
      <c r="O36">
        <v>98</v>
      </c>
      <c r="P36">
        <v>33</v>
      </c>
    </row>
    <row r="37" spans="1:16" x14ac:dyDescent="0.35">
      <c r="A37" s="1" t="s">
        <v>392</v>
      </c>
      <c r="B37" s="1" t="s">
        <v>90</v>
      </c>
      <c r="C37" s="1" t="s">
        <v>76</v>
      </c>
      <c r="D37">
        <v>60</v>
      </c>
      <c r="E37">
        <v>47</v>
      </c>
      <c r="F37">
        <v>9</v>
      </c>
      <c r="G37">
        <v>955</v>
      </c>
      <c r="H37" s="1" t="s">
        <v>68</v>
      </c>
      <c r="I37">
        <v>25.13</v>
      </c>
      <c r="J37">
        <v>641</v>
      </c>
      <c r="K37">
        <v>148.97999999999999</v>
      </c>
      <c r="L37">
        <v>1</v>
      </c>
      <c r="M37">
        <v>2</v>
      </c>
      <c r="N37">
        <v>3</v>
      </c>
      <c r="O37">
        <v>54</v>
      </c>
      <c r="P37">
        <v>59</v>
      </c>
    </row>
    <row r="38" spans="1:16" x14ac:dyDescent="0.35">
      <c r="A38" s="1" t="s">
        <v>408</v>
      </c>
      <c r="B38" s="1" t="s">
        <v>91</v>
      </c>
      <c r="C38" s="1" t="s">
        <v>38</v>
      </c>
      <c r="D38">
        <v>64</v>
      </c>
      <c r="E38">
        <v>54</v>
      </c>
      <c r="F38">
        <v>8</v>
      </c>
      <c r="G38">
        <v>950</v>
      </c>
      <c r="H38" s="1" t="s">
        <v>190</v>
      </c>
      <c r="I38">
        <v>20.65</v>
      </c>
      <c r="J38">
        <v>757</v>
      </c>
      <c r="K38">
        <v>125.49</v>
      </c>
      <c r="L38">
        <v>0</v>
      </c>
      <c r="M38">
        <v>3</v>
      </c>
      <c r="N38">
        <v>5</v>
      </c>
      <c r="O38">
        <v>77</v>
      </c>
      <c r="P38">
        <v>29</v>
      </c>
    </row>
    <row r="39" spans="1:16" x14ac:dyDescent="0.35">
      <c r="A39" s="1" t="s">
        <v>398</v>
      </c>
      <c r="B39" s="1" t="s">
        <v>399</v>
      </c>
      <c r="C39" s="1" t="s">
        <v>317</v>
      </c>
      <c r="D39">
        <v>37</v>
      </c>
      <c r="E39">
        <v>37</v>
      </c>
      <c r="F39">
        <v>7</v>
      </c>
      <c r="G39">
        <v>941</v>
      </c>
      <c r="H39" s="1" t="s">
        <v>141</v>
      </c>
      <c r="I39">
        <v>31.36</v>
      </c>
      <c r="J39">
        <v>877</v>
      </c>
      <c r="K39">
        <v>107.29</v>
      </c>
      <c r="L39">
        <v>0</v>
      </c>
      <c r="M39">
        <v>6</v>
      </c>
      <c r="N39">
        <v>2</v>
      </c>
      <c r="O39">
        <v>97</v>
      </c>
      <c r="P39">
        <v>18</v>
      </c>
    </row>
    <row r="40" spans="1:16" x14ac:dyDescent="0.35">
      <c r="A40" s="1" t="s">
        <v>401</v>
      </c>
      <c r="B40" s="1" t="s">
        <v>212</v>
      </c>
      <c r="C40" s="1" t="s">
        <v>223</v>
      </c>
      <c r="D40">
        <v>43</v>
      </c>
      <c r="E40">
        <v>42</v>
      </c>
      <c r="F40">
        <v>1</v>
      </c>
      <c r="G40">
        <v>937</v>
      </c>
      <c r="H40" s="1" t="s">
        <v>402</v>
      </c>
      <c r="I40">
        <v>22.85</v>
      </c>
      <c r="J40">
        <v>777</v>
      </c>
      <c r="K40">
        <v>120.59</v>
      </c>
      <c r="L40">
        <v>1</v>
      </c>
      <c r="M40">
        <v>3</v>
      </c>
      <c r="N40">
        <v>3</v>
      </c>
      <c r="O40">
        <v>106</v>
      </c>
      <c r="P40">
        <v>24</v>
      </c>
    </row>
    <row r="41" spans="1:16" x14ac:dyDescent="0.35">
      <c r="A41" s="1" t="s">
        <v>444</v>
      </c>
      <c r="B41" s="1" t="s">
        <v>242</v>
      </c>
      <c r="C41" s="1" t="s">
        <v>34</v>
      </c>
      <c r="D41">
        <v>45</v>
      </c>
      <c r="E41">
        <v>44</v>
      </c>
      <c r="F41">
        <v>1</v>
      </c>
      <c r="G41">
        <v>933</v>
      </c>
      <c r="H41" s="1" t="s">
        <v>170</v>
      </c>
      <c r="I41">
        <v>21.69</v>
      </c>
      <c r="J41">
        <v>763</v>
      </c>
      <c r="K41">
        <v>122.28</v>
      </c>
      <c r="L41">
        <v>1</v>
      </c>
      <c r="M41">
        <v>4</v>
      </c>
      <c r="N41">
        <v>4</v>
      </c>
      <c r="O41">
        <v>102</v>
      </c>
      <c r="P41">
        <v>27</v>
      </c>
    </row>
    <row r="42" spans="1:16" x14ac:dyDescent="0.35">
      <c r="A42" s="1" t="s">
        <v>406</v>
      </c>
      <c r="B42" s="1" t="s">
        <v>88</v>
      </c>
      <c r="C42" s="1" t="s">
        <v>407</v>
      </c>
      <c r="D42">
        <v>37</v>
      </c>
      <c r="E42">
        <v>36</v>
      </c>
      <c r="F42">
        <v>2</v>
      </c>
      <c r="G42">
        <v>932</v>
      </c>
      <c r="H42" s="1" t="s">
        <v>51</v>
      </c>
      <c r="I42">
        <v>27.41</v>
      </c>
      <c r="J42">
        <v>783</v>
      </c>
      <c r="K42">
        <v>119.02</v>
      </c>
      <c r="L42">
        <v>0</v>
      </c>
      <c r="M42">
        <v>7</v>
      </c>
      <c r="N42">
        <v>2</v>
      </c>
      <c r="O42">
        <v>109</v>
      </c>
      <c r="P42">
        <v>10</v>
      </c>
    </row>
    <row r="43" spans="1:16" x14ac:dyDescent="0.35">
      <c r="A43" s="1" t="s">
        <v>432</v>
      </c>
      <c r="B43" s="1" t="s">
        <v>433</v>
      </c>
      <c r="C43" s="1" t="s">
        <v>34</v>
      </c>
      <c r="D43">
        <v>44</v>
      </c>
      <c r="E43">
        <v>44</v>
      </c>
      <c r="F43">
        <v>1</v>
      </c>
      <c r="G43">
        <v>931</v>
      </c>
      <c r="H43" s="1" t="s">
        <v>187</v>
      </c>
      <c r="I43">
        <v>21.65</v>
      </c>
      <c r="J43">
        <v>768</v>
      </c>
      <c r="K43">
        <v>121.22</v>
      </c>
      <c r="L43">
        <v>0</v>
      </c>
      <c r="M43">
        <v>4</v>
      </c>
      <c r="N43">
        <v>5</v>
      </c>
      <c r="O43">
        <v>97</v>
      </c>
      <c r="P43">
        <v>20</v>
      </c>
    </row>
    <row r="44" spans="1:16" x14ac:dyDescent="0.35">
      <c r="A44" s="1" t="s">
        <v>481</v>
      </c>
      <c r="B44" s="1" t="s">
        <v>482</v>
      </c>
      <c r="C44" s="1" t="s">
        <v>177</v>
      </c>
      <c r="D44">
        <v>39</v>
      </c>
      <c r="E44">
        <v>36</v>
      </c>
      <c r="F44">
        <v>12</v>
      </c>
      <c r="G44">
        <v>928</v>
      </c>
      <c r="H44" s="1" t="s">
        <v>114</v>
      </c>
      <c r="I44">
        <v>38.659999999999997</v>
      </c>
      <c r="J44">
        <v>812</v>
      </c>
      <c r="K44">
        <v>114.28</v>
      </c>
      <c r="L44">
        <v>0</v>
      </c>
      <c r="M44">
        <v>4</v>
      </c>
      <c r="N44">
        <v>1</v>
      </c>
      <c r="O44">
        <v>71</v>
      </c>
      <c r="P44">
        <v>29</v>
      </c>
    </row>
    <row r="45" spans="1:16" x14ac:dyDescent="0.35">
      <c r="A45" s="1" t="s">
        <v>411</v>
      </c>
      <c r="B45" s="1" t="s">
        <v>412</v>
      </c>
      <c r="C45" s="1" t="s">
        <v>34</v>
      </c>
      <c r="D45">
        <v>43</v>
      </c>
      <c r="E45">
        <v>36</v>
      </c>
      <c r="F45">
        <v>3</v>
      </c>
      <c r="G45">
        <v>920</v>
      </c>
      <c r="H45" s="1" t="s">
        <v>362</v>
      </c>
      <c r="I45">
        <v>27.87</v>
      </c>
      <c r="J45">
        <v>669</v>
      </c>
      <c r="K45">
        <v>137.51</v>
      </c>
      <c r="L45">
        <v>1</v>
      </c>
      <c r="M45">
        <v>6</v>
      </c>
      <c r="N45">
        <v>1</v>
      </c>
      <c r="O45">
        <v>100</v>
      </c>
      <c r="P45">
        <v>29</v>
      </c>
    </row>
    <row r="46" spans="1:16" x14ac:dyDescent="0.35">
      <c r="A46" s="1" t="s">
        <v>458</v>
      </c>
      <c r="B46" s="1" t="s">
        <v>433</v>
      </c>
      <c r="C46" s="1" t="s">
        <v>34</v>
      </c>
      <c r="D46">
        <v>49</v>
      </c>
      <c r="E46">
        <v>49</v>
      </c>
      <c r="F46">
        <v>7</v>
      </c>
      <c r="G46">
        <v>920</v>
      </c>
      <c r="H46" s="1" t="s">
        <v>50</v>
      </c>
      <c r="I46">
        <v>21.9</v>
      </c>
      <c r="J46">
        <v>869</v>
      </c>
      <c r="K46">
        <v>105.86</v>
      </c>
      <c r="L46">
        <v>0</v>
      </c>
      <c r="M46">
        <v>2</v>
      </c>
      <c r="N46">
        <v>4</v>
      </c>
      <c r="O46">
        <v>67</v>
      </c>
      <c r="P46">
        <v>29</v>
      </c>
    </row>
    <row r="47" spans="1:16" x14ac:dyDescent="0.35">
      <c r="A47" s="1" t="s">
        <v>514</v>
      </c>
      <c r="B47" s="1" t="s">
        <v>482</v>
      </c>
      <c r="C47" s="1" t="s">
        <v>317</v>
      </c>
      <c r="D47">
        <v>56</v>
      </c>
      <c r="E47">
        <v>51</v>
      </c>
      <c r="F47">
        <v>6</v>
      </c>
      <c r="G47">
        <v>919</v>
      </c>
      <c r="H47" s="1" t="s">
        <v>387</v>
      </c>
      <c r="I47">
        <v>20.420000000000002</v>
      </c>
      <c r="J47">
        <v>804</v>
      </c>
      <c r="K47">
        <v>114.3</v>
      </c>
      <c r="L47">
        <v>2</v>
      </c>
      <c r="M47">
        <v>1</v>
      </c>
      <c r="N47">
        <v>4</v>
      </c>
      <c r="O47">
        <v>99</v>
      </c>
      <c r="P47">
        <v>36</v>
      </c>
    </row>
    <row r="48" spans="1:16" x14ac:dyDescent="0.35">
      <c r="A48" s="1" t="s">
        <v>414</v>
      </c>
      <c r="B48" s="1" t="s">
        <v>106</v>
      </c>
      <c r="C48" s="1" t="s">
        <v>415</v>
      </c>
      <c r="D48">
        <v>45</v>
      </c>
      <c r="E48">
        <v>44</v>
      </c>
      <c r="F48">
        <v>2</v>
      </c>
      <c r="G48">
        <v>915</v>
      </c>
      <c r="H48" s="1" t="s">
        <v>114</v>
      </c>
      <c r="I48">
        <v>21.78</v>
      </c>
      <c r="J48">
        <v>799</v>
      </c>
      <c r="K48">
        <v>114.51</v>
      </c>
      <c r="L48">
        <v>0</v>
      </c>
      <c r="M48">
        <v>5</v>
      </c>
      <c r="N48">
        <v>8</v>
      </c>
      <c r="O48">
        <v>100</v>
      </c>
      <c r="P48">
        <v>28</v>
      </c>
    </row>
    <row r="49" spans="1:16" x14ac:dyDescent="0.35">
      <c r="A49" s="1" t="s">
        <v>435</v>
      </c>
      <c r="B49" s="1" t="s">
        <v>176</v>
      </c>
      <c r="C49" s="1" t="s">
        <v>177</v>
      </c>
      <c r="D49">
        <v>43</v>
      </c>
      <c r="E49">
        <v>42</v>
      </c>
      <c r="F49">
        <v>4</v>
      </c>
      <c r="G49">
        <v>915</v>
      </c>
      <c r="H49" s="1" t="s">
        <v>404</v>
      </c>
      <c r="I49">
        <v>24.07</v>
      </c>
      <c r="J49">
        <v>727</v>
      </c>
      <c r="K49">
        <v>125.85</v>
      </c>
      <c r="L49">
        <v>0</v>
      </c>
      <c r="M49">
        <v>5</v>
      </c>
      <c r="N49">
        <v>2</v>
      </c>
      <c r="O49">
        <v>86</v>
      </c>
      <c r="P49">
        <v>20</v>
      </c>
    </row>
    <row r="50" spans="1:16" x14ac:dyDescent="0.35">
      <c r="A50" s="1" t="s">
        <v>510</v>
      </c>
      <c r="B50" s="1" t="s">
        <v>93</v>
      </c>
      <c r="C50" s="1" t="s">
        <v>177</v>
      </c>
      <c r="D50">
        <v>41</v>
      </c>
      <c r="E50">
        <v>38</v>
      </c>
      <c r="F50">
        <v>6</v>
      </c>
      <c r="G50">
        <v>911</v>
      </c>
      <c r="H50" s="1" t="s">
        <v>170</v>
      </c>
      <c r="I50">
        <v>28.46</v>
      </c>
      <c r="J50">
        <v>572</v>
      </c>
      <c r="K50">
        <v>159.26</v>
      </c>
      <c r="L50">
        <v>2</v>
      </c>
      <c r="M50">
        <v>2</v>
      </c>
      <c r="N50">
        <v>4</v>
      </c>
      <c r="O50">
        <v>92</v>
      </c>
      <c r="P50">
        <v>37</v>
      </c>
    </row>
    <row r="51" spans="1:16" x14ac:dyDescent="0.35">
      <c r="A51" s="1" t="s">
        <v>419</v>
      </c>
      <c r="B51" s="1" t="s">
        <v>286</v>
      </c>
      <c r="C51" s="1" t="s">
        <v>177</v>
      </c>
      <c r="D51">
        <v>31</v>
      </c>
      <c r="E51">
        <v>31</v>
      </c>
      <c r="F51">
        <v>3</v>
      </c>
      <c r="G51">
        <v>910</v>
      </c>
      <c r="H51" s="1" t="s">
        <v>16</v>
      </c>
      <c r="I51">
        <v>32.5</v>
      </c>
      <c r="J51">
        <v>618</v>
      </c>
      <c r="K51">
        <v>147.24</v>
      </c>
      <c r="L51">
        <v>2</v>
      </c>
      <c r="M51">
        <v>6</v>
      </c>
      <c r="N51">
        <v>5</v>
      </c>
      <c r="O51">
        <v>85</v>
      </c>
      <c r="P51">
        <v>60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461EC-7ABD-40B4-99D7-E6773EC3B96F}">
  <sheetPr codeName="Sheet6"/>
  <dimension ref="A1:P51"/>
  <sheetViews>
    <sheetView topLeftCell="A44" workbookViewId="0">
      <selection sqref="A1:P51"/>
    </sheetView>
  </sheetViews>
  <sheetFormatPr defaultRowHeight="14.5" x14ac:dyDescent="0.35"/>
  <cols>
    <col min="1" max="1" width="17.54296875" bestFit="1" customWidth="1"/>
    <col min="2" max="2" width="9.81640625" bestFit="1" customWidth="1"/>
    <col min="3" max="3" width="9.453125" bestFit="1" customWidth="1"/>
    <col min="4" max="4" width="6.54296875" bestFit="1" customWidth="1"/>
    <col min="5" max="5" width="6.6328125" bestFit="1" customWidth="1"/>
    <col min="6" max="6" width="5.7265625" bestFit="1" customWidth="1"/>
    <col min="7" max="7" width="7.1796875" bestFit="1" customWidth="1"/>
    <col min="8" max="8" width="5.26953125" bestFit="1" customWidth="1"/>
    <col min="9" max="9" width="6.1796875" bestFit="1" customWidth="1"/>
    <col min="10" max="10" width="5.08984375" bestFit="1" customWidth="1"/>
    <col min="11" max="11" width="6.81640625" bestFit="1" customWidth="1"/>
    <col min="12" max="12" width="6.08984375" bestFit="1" customWidth="1"/>
    <col min="13" max="13" width="5.08984375" bestFit="1" customWidth="1"/>
    <col min="14" max="14" width="4.08984375" bestFit="1" customWidth="1"/>
    <col min="15" max="16" width="4.90625" bestFit="1" customWidth="1"/>
  </cols>
  <sheetData>
    <row r="1" spans="1:16" x14ac:dyDescent="0.35">
      <c r="A1" t="s">
        <v>86</v>
      </c>
      <c r="B1" t="s">
        <v>87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</row>
    <row r="2" spans="1:16" x14ac:dyDescent="0.35">
      <c r="A2" s="1" t="s">
        <v>584</v>
      </c>
      <c r="B2" s="1" t="s">
        <v>240</v>
      </c>
      <c r="C2" s="1" t="s">
        <v>34</v>
      </c>
      <c r="D2">
        <v>60</v>
      </c>
      <c r="E2">
        <v>56</v>
      </c>
      <c r="F2">
        <v>5</v>
      </c>
      <c r="G2">
        <v>903</v>
      </c>
      <c r="H2" s="1" t="s">
        <v>585</v>
      </c>
      <c r="I2">
        <v>17.7</v>
      </c>
      <c r="J2">
        <v>990</v>
      </c>
      <c r="K2">
        <v>91.21</v>
      </c>
      <c r="L2">
        <v>0</v>
      </c>
      <c r="M2">
        <v>1</v>
      </c>
      <c r="N2">
        <v>4</v>
      </c>
      <c r="O2">
        <v>88</v>
      </c>
      <c r="P2">
        <v>15</v>
      </c>
    </row>
    <row r="3" spans="1:16" x14ac:dyDescent="0.35">
      <c r="A3" s="1" t="s">
        <v>500</v>
      </c>
      <c r="B3" s="1" t="s">
        <v>338</v>
      </c>
      <c r="C3" s="1" t="s">
        <v>34</v>
      </c>
      <c r="D3">
        <v>49</v>
      </c>
      <c r="E3">
        <v>45</v>
      </c>
      <c r="F3">
        <v>4</v>
      </c>
      <c r="G3">
        <v>900</v>
      </c>
      <c r="H3" s="1" t="s">
        <v>282</v>
      </c>
      <c r="I3">
        <v>21.95</v>
      </c>
      <c r="J3">
        <v>786</v>
      </c>
      <c r="K3">
        <v>114.5</v>
      </c>
      <c r="L3">
        <v>0</v>
      </c>
      <c r="M3">
        <v>2</v>
      </c>
      <c r="N3">
        <v>1</v>
      </c>
      <c r="O3">
        <v>80</v>
      </c>
      <c r="P3">
        <v>28</v>
      </c>
    </row>
    <row r="4" spans="1:16" x14ac:dyDescent="0.35">
      <c r="A4" s="1" t="s">
        <v>494</v>
      </c>
      <c r="B4" s="1" t="s">
        <v>249</v>
      </c>
      <c r="C4" s="1" t="s">
        <v>34</v>
      </c>
      <c r="D4">
        <v>47</v>
      </c>
      <c r="E4">
        <v>44</v>
      </c>
      <c r="F4">
        <v>5</v>
      </c>
      <c r="G4">
        <v>896</v>
      </c>
      <c r="H4" s="1" t="s">
        <v>69</v>
      </c>
      <c r="I4">
        <v>22.97</v>
      </c>
      <c r="J4">
        <v>822</v>
      </c>
      <c r="K4">
        <v>109</v>
      </c>
      <c r="L4">
        <v>2</v>
      </c>
      <c r="M4">
        <v>3</v>
      </c>
      <c r="N4">
        <v>0</v>
      </c>
      <c r="O4">
        <v>84</v>
      </c>
      <c r="P4">
        <v>29</v>
      </c>
    </row>
    <row r="5" spans="1:16" x14ac:dyDescent="0.35">
      <c r="A5" s="1" t="s">
        <v>454</v>
      </c>
      <c r="B5" s="1" t="s">
        <v>217</v>
      </c>
      <c r="C5" s="1" t="s">
        <v>38</v>
      </c>
      <c r="D5">
        <v>75</v>
      </c>
      <c r="E5">
        <v>61</v>
      </c>
      <c r="F5">
        <v>11</v>
      </c>
      <c r="G5">
        <v>896</v>
      </c>
      <c r="H5" s="1" t="s">
        <v>455</v>
      </c>
      <c r="I5">
        <v>17.920000000000002</v>
      </c>
      <c r="J5">
        <v>924</v>
      </c>
      <c r="K5">
        <v>96.96</v>
      </c>
      <c r="L5">
        <v>0</v>
      </c>
      <c r="M5">
        <v>2</v>
      </c>
      <c r="N5">
        <v>4</v>
      </c>
      <c r="O5">
        <v>83</v>
      </c>
      <c r="P5">
        <v>15</v>
      </c>
    </row>
    <row r="6" spans="1:16" x14ac:dyDescent="0.35">
      <c r="A6" s="1" t="s">
        <v>421</v>
      </c>
      <c r="B6" s="1" t="s">
        <v>100</v>
      </c>
      <c r="C6" s="1" t="s">
        <v>80</v>
      </c>
      <c r="D6">
        <v>57</v>
      </c>
      <c r="E6">
        <v>56</v>
      </c>
      <c r="F6">
        <v>9</v>
      </c>
      <c r="G6">
        <v>893</v>
      </c>
      <c r="H6" s="1" t="s">
        <v>221</v>
      </c>
      <c r="I6">
        <v>19</v>
      </c>
      <c r="J6">
        <v>635</v>
      </c>
      <c r="K6">
        <v>140.62</v>
      </c>
      <c r="L6">
        <v>0</v>
      </c>
      <c r="M6">
        <v>3</v>
      </c>
      <c r="N6">
        <v>6</v>
      </c>
      <c r="O6">
        <v>61</v>
      </c>
      <c r="P6">
        <v>53</v>
      </c>
    </row>
    <row r="7" spans="1:16" x14ac:dyDescent="0.35">
      <c r="A7" s="1" t="s">
        <v>422</v>
      </c>
      <c r="B7" s="1" t="s">
        <v>90</v>
      </c>
      <c r="C7" s="1" t="s">
        <v>423</v>
      </c>
      <c r="D7">
        <v>32</v>
      </c>
      <c r="E7">
        <v>30</v>
      </c>
      <c r="F7">
        <v>5</v>
      </c>
      <c r="G7">
        <v>893</v>
      </c>
      <c r="H7" s="1" t="s">
        <v>334</v>
      </c>
      <c r="I7">
        <v>35.72</v>
      </c>
      <c r="J7">
        <v>707</v>
      </c>
      <c r="K7">
        <v>126.3</v>
      </c>
      <c r="L7">
        <v>0</v>
      </c>
      <c r="M7">
        <v>5</v>
      </c>
      <c r="N7">
        <v>2</v>
      </c>
      <c r="O7">
        <v>92</v>
      </c>
      <c r="P7">
        <v>16</v>
      </c>
    </row>
    <row r="8" spans="1:16" x14ac:dyDescent="0.35">
      <c r="A8" s="1" t="s">
        <v>431</v>
      </c>
      <c r="B8" s="1" t="s">
        <v>417</v>
      </c>
      <c r="C8" s="1" t="s">
        <v>34</v>
      </c>
      <c r="D8">
        <v>39</v>
      </c>
      <c r="E8">
        <v>37</v>
      </c>
      <c r="F8">
        <v>5</v>
      </c>
      <c r="G8">
        <v>892</v>
      </c>
      <c r="H8" s="1" t="s">
        <v>390</v>
      </c>
      <c r="I8">
        <v>27.87</v>
      </c>
      <c r="J8">
        <v>811</v>
      </c>
      <c r="K8">
        <v>109.98</v>
      </c>
      <c r="L8">
        <v>0</v>
      </c>
      <c r="M8">
        <v>3</v>
      </c>
      <c r="N8">
        <v>1</v>
      </c>
      <c r="O8">
        <v>82</v>
      </c>
      <c r="P8">
        <v>21</v>
      </c>
    </row>
    <row r="9" spans="1:16" x14ac:dyDescent="0.35">
      <c r="A9" s="1" t="s">
        <v>424</v>
      </c>
      <c r="B9" s="1" t="s">
        <v>95</v>
      </c>
      <c r="C9" s="1" t="s">
        <v>57</v>
      </c>
      <c r="D9">
        <v>47</v>
      </c>
      <c r="E9">
        <v>43</v>
      </c>
      <c r="F9">
        <v>6</v>
      </c>
      <c r="G9">
        <v>891</v>
      </c>
      <c r="H9" s="1" t="s">
        <v>158</v>
      </c>
      <c r="I9">
        <v>24.08</v>
      </c>
      <c r="J9">
        <v>778</v>
      </c>
      <c r="K9">
        <v>114.52</v>
      </c>
      <c r="L9">
        <v>0</v>
      </c>
      <c r="M9">
        <v>3</v>
      </c>
      <c r="N9">
        <v>3</v>
      </c>
      <c r="O9">
        <v>73</v>
      </c>
      <c r="P9">
        <v>27</v>
      </c>
    </row>
    <row r="10" spans="1:16" x14ac:dyDescent="0.35">
      <c r="A10" s="1" t="s">
        <v>430</v>
      </c>
      <c r="B10" s="1" t="s">
        <v>111</v>
      </c>
      <c r="C10" s="1" t="s">
        <v>186</v>
      </c>
      <c r="D10">
        <v>45</v>
      </c>
      <c r="E10">
        <v>39</v>
      </c>
      <c r="F10">
        <v>1</v>
      </c>
      <c r="G10">
        <v>883</v>
      </c>
      <c r="H10" s="1" t="s">
        <v>85</v>
      </c>
      <c r="I10">
        <v>23.23</v>
      </c>
      <c r="J10">
        <v>734</v>
      </c>
      <c r="K10">
        <v>120.29</v>
      </c>
      <c r="L10">
        <v>1</v>
      </c>
      <c r="M10">
        <v>2</v>
      </c>
      <c r="N10">
        <v>1</v>
      </c>
      <c r="O10">
        <v>76</v>
      </c>
      <c r="P10">
        <v>36</v>
      </c>
    </row>
    <row r="11" spans="1:16" x14ac:dyDescent="0.35">
      <c r="A11" s="1" t="s">
        <v>438</v>
      </c>
      <c r="B11" s="1" t="s">
        <v>107</v>
      </c>
      <c r="C11" s="1" t="s">
        <v>34</v>
      </c>
      <c r="D11">
        <v>75</v>
      </c>
      <c r="E11">
        <v>51</v>
      </c>
      <c r="F11">
        <v>7</v>
      </c>
      <c r="G11">
        <v>877</v>
      </c>
      <c r="H11" s="1" t="s">
        <v>439</v>
      </c>
      <c r="I11">
        <v>19.93</v>
      </c>
      <c r="J11">
        <v>769</v>
      </c>
      <c r="K11">
        <v>114.04</v>
      </c>
      <c r="L11">
        <v>0</v>
      </c>
      <c r="M11">
        <v>4</v>
      </c>
      <c r="N11">
        <v>4</v>
      </c>
      <c r="O11">
        <v>76</v>
      </c>
      <c r="P11">
        <v>21</v>
      </c>
    </row>
    <row r="12" spans="1:16" x14ac:dyDescent="0.35">
      <c r="A12" s="1" t="s">
        <v>496</v>
      </c>
      <c r="B12" s="1" t="s">
        <v>107</v>
      </c>
      <c r="C12" s="1" t="s">
        <v>317</v>
      </c>
      <c r="D12">
        <v>41</v>
      </c>
      <c r="E12">
        <v>41</v>
      </c>
      <c r="F12">
        <v>5</v>
      </c>
      <c r="G12">
        <v>871</v>
      </c>
      <c r="H12" s="1" t="s">
        <v>51</v>
      </c>
      <c r="I12">
        <v>24.19</v>
      </c>
      <c r="J12">
        <v>584</v>
      </c>
      <c r="K12">
        <v>149.13999999999999</v>
      </c>
      <c r="L12">
        <v>0</v>
      </c>
      <c r="M12">
        <v>3</v>
      </c>
      <c r="N12">
        <v>0</v>
      </c>
      <c r="O12">
        <v>56</v>
      </c>
      <c r="P12">
        <v>63</v>
      </c>
    </row>
    <row r="13" spans="1:16" x14ac:dyDescent="0.35">
      <c r="A13" s="1" t="s">
        <v>441</v>
      </c>
      <c r="B13" s="1" t="s">
        <v>102</v>
      </c>
      <c r="C13" s="1" t="s">
        <v>52</v>
      </c>
      <c r="D13">
        <v>74</v>
      </c>
      <c r="E13">
        <v>61</v>
      </c>
      <c r="F13">
        <v>8</v>
      </c>
      <c r="G13">
        <v>870</v>
      </c>
      <c r="H13" s="1" t="s">
        <v>442</v>
      </c>
      <c r="I13">
        <v>16.41</v>
      </c>
      <c r="J13">
        <v>682</v>
      </c>
      <c r="K13">
        <v>127.56</v>
      </c>
      <c r="L13">
        <v>0</v>
      </c>
      <c r="M13">
        <v>1</v>
      </c>
      <c r="N13">
        <v>4</v>
      </c>
      <c r="O13">
        <v>57</v>
      </c>
      <c r="P13">
        <v>44</v>
      </c>
    </row>
    <row r="14" spans="1:16" x14ac:dyDescent="0.35">
      <c r="A14" s="1" t="s">
        <v>487</v>
      </c>
      <c r="B14" s="1" t="s">
        <v>106</v>
      </c>
      <c r="C14" s="1" t="s">
        <v>488</v>
      </c>
      <c r="D14">
        <v>26</v>
      </c>
      <c r="E14">
        <v>25</v>
      </c>
      <c r="F14">
        <v>1</v>
      </c>
      <c r="G14">
        <v>866</v>
      </c>
      <c r="H14" s="1" t="s">
        <v>489</v>
      </c>
      <c r="I14">
        <v>36.08</v>
      </c>
      <c r="J14">
        <v>609</v>
      </c>
      <c r="K14">
        <v>142.19999999999999</v>
      </c>
      <c r="L14">
        <v>1</v>
      </c>
      <c r="M14">
        <v>6</v>
      </c>
      <c r="N14">
        <v>1</v>
      </c>
      <c r="O14">
        <v>74</v>
      </c>
      <c r="P14">
        <v>46</v>
      </c>
    </row>
    <row r="15" spans="1:16" x14ac:dyDescent="0.35">
      <c r="A15" s="1" t="s">
        <v>447</v>
      </c>
      <c r="B15" s="1" t="s">
        <v>117</v>
      </c>
      <c r="C15" s="1" t="s">
        <v>34</v>
      </c>
      <c r="D15">
        <v>39</v>
      </c>
      <c r="E15">
        <v>36</v>
      </c>
      <c r="F15">
        <v>1</v>
      </c>
      <c r="G15">
        <v>864</v>
      </c>
      <c r="H15" s="1" t="s">
        <v>448</v>
      </c>
      <c r="I15">
        <v>24.68</v>
      </c>
      <c r="J15">
        <v>639</v>
      </c>
      <c r="K15">
        <v>135.21</v>
      </c>
      <c r="L15">
        <v>0</v>
      </c>
      <c r="M15">
        <v>5</v>
      </c>
      <c r="N15">
        <v>1</v>
      </c>
      <c r="O15">
        <v>77</v>
      </c>
      <c r="P15">
        <v>50</v>
      </c>
    </row>
    <row r="16" spans="1:16" x14ac:dyDescent="0.35">
      <c r="A16" s="1" t="s">
        <v>462</v>
      </c>
      <c r="B16" s="1" t="s">
        <v>98</v>
      </c>
      <c r="C16" s="1" t="s">
        <v>34</v>
      </c>
      <c r="D16">
        <v>38</v>
      </c>
      <c r="E16">
        <v>38</v>
      </c>
      <c r="F16">
        <v>2</v>
      </c>
      <c r="G16">
        <v>860</v>
      </c>
      <c r="H16" s="1" t="s">
        <v>65</v>
      </c>
      <c r="I16">
        <v>23.88</v>
      </c>
      <c r="J16">
        <v>841</v>
      </c>
      <c r="K16">
        <v>102.25</v>
      </c>
      <c r="L16">
        <v>0</v>
      </c>
      <c r="M16">
        <v>4</v>
      </c>
      <c r="N16">
        <v>2</v>
      </c>
      <c r="O16">
        <v>77</v>
      </c>
      <c r="P16">
        <v>18</v>
      </c>
    </row>
    <row r="17" spans="1:16" x14ac:dyDescent="0.35">
      <c r="A17" s="1" t="s">
        <v>650</v>
      </c>
      <c r="B17" s="1" t="s">
        <v>89</v>
      </c>
      <c r="C17" s="1" t="s">
        <v>112</v>
      </c>
      <c r="D17">
        <v>35</v>
      </c>
      <c r="E17">
        <v>35</v>
      </c>
      <c r="F17">
        <v>1</v>
      </c>
      <c r="G17">
        <v>857</v>
      </c>
      <c r="H17" s="1" t="s">
        <v>266</v>
      </c>
      <c r="I17">
        <v>25.2</v>
      </c>
      <c r="J17">
        <v>667</v>
      </c>
      <c r="K17">
        <v>128.47999999999999</v>
      </c>
      <c r="L17">
        <v>0</v>
      </c>
      <c r="M17">
        <v>7</v>
      </c>
      <c r="N17">
        <v>2</v>
      </c>
      <c r="O17">
        <v>65</v>
      </c>
      <c r="P17">
        <v>49</v>
      </c>
    </row>
    <row r="18" spans="1:16" x14ac:dyDescent="0.35">
      <c r="A18" s="1" t="s">
        <v>440</v>
      </c>
      <c r="B18" s="1" t="s">
        <v>305</v>
      </c>
      <c r="C18" s="1" t="s">
        <v>38</v>
      </c>
      <c r="D18">
        <v>29</v>
      </c>
      <c r="E18">
        <v>29</v>
      </c>
      <c r="F18">
        <v>4</v>
      </c>
      <c r="G18">
        <v>852</v>
      </c>
      <c r="H18" s="1" t="s">
        <v>45</v>
      </c>
      <c r="I18">
        <v>34.08</v>
      </c>
      <c r="J18">
        <v>663</v>
      </c>
      <c r="K18">
        <v>128.5</v>
      </c>
      <c r="L18">
        <v>0</v>
      </c>
      <c r="M18">
        <v>7</v>
      </c>
      <c r="N18">
        <v>3</v>
      </c>
      <c r="O18">
        <v>82</v>
      </c>
      <c r="P18">
        <v>35</v>
      </c>
    </row>
    <row r="19" spans="1:16" x14ac:dyDescent="0.35">
      <c r="A19" s="1" t="s">
        <v>453</v>
      </c>
      <c r="B19" s="1" t="s">
        <v>249</v>
      </c>
      <c r="C19" s="1" t="s">
        <v>34</v>
      </c>
      <c r="D19">
        <v>53</v>
      </c>
      <c r="E19">
        <v>46</v>
      </c>
      <c r="F19">
        <v>9</v>
      </c>
      <c r="G19">
        <v>850</v>
      </c>
      <c r="H19" s="1" t="s">
        <v>81</v>
      </c>
      <c r="I19">
        <v>22.97</v>
      </c>
      <c r="J19">
        <v>891</v>
      </c>
      <c r="K19">
        <v>95.39</v>
      </c>
      <c r="L19">
        <v>0</v>
      </c>
      <c r="M19">
        <v>3</v>
      </c>
      <c r="N19">
        <v>3</v>
      </c>
      <c r="O19">
        <v>66</v>
      </c>
      <c r="P19">
        <v>15</v>
      </c>
    </row>
    <row r="20" spans="1:16" x14ac:dyDescent="0.35">
      <c r="A20" s="1" t="s">
        <v>499</v>
      </c>
      <c r="B20" s="1" t="s">
        <v>104</v>
      </c>
      <c r="C20" s="1" t="s">
        <v>177</v>
      </c>
      <c r="D20">
        <v>65</v>
      </c>
      <c r="E20">
        <v>45</v>
      </c>
      <c r="F20">
        <v>11</v>
      </c>
      <c r="G20">
        <v>850</v>
      </c>
      <c r="H20" s="1" t="s">
        <v>187</v>
      </c>
      <c r="I20">
        <v>25</v>
      </c>
      <c r="J20">
        <v>646</v>
      </c>
      <c r="K20">
        <v>131.57</v>
      </c>
      <c r="L20">
        <v>0</v>
      </c>
      <c r="M20">
        <v>5</v>
      </c>
      <c r="N20">
        <v>3</v>
      </c>
      <c r="O20">
        <v>66</v>
      </c>
      <c r="P20">
        <v>31</v>
      </c>
    </row>
    <row r="21" spans="1:16" x14ac:dyDescent="0.35">
      <c r="A21" s="1" t="s">
        <v>651</v>
      </c>
      <c r="B21" s="1" t="s">
        <v>92</v>
      </c>
      <c r="C21" s="1" t="s">
        <v>61</v>
      </c>
      <c r="D21">
        <v>122</v>
      </c>
      <c r="E21">
        <v>80</v>
      </c>
      <c r="F21">
        <v>34</v>
      </c>
      <c r="G21">
        <v>848</v>
      </c>
      <c r="H21" s="1" t="s">
        <v>301</v>
      </c>
      <c r="I21">
        <v>18.43</v>
      </c>
      <c r="J21">
        <v>666</v>
      </c>
      <c r="K21">
        <v>127.32</v>
      </c>
      <c r="L21">
        <v>0</v>
      </c>
      <c r="M21">
        <v>2</v>
      </c>
      <c r="N21">
        <v>5</v>
      </c>
      <c r="O21">
        <v>67</v>
      </c>
      <c r="P21">
        <v>31</v>
      </c>
    </row>
    <row r="22" spans="1:16" x14ac:dyDescent="0.35">
      <c r="A22" s="1" t="s">
        <v>443</v>
      </c>
      <c r="B22" s="1" t="s">
        <v>108</v>
      </c>
      <c r="C22" s="1" t="s">
        <v>28</v>
      </c>
      <c r="D22">
        <v>45</v>
      </c>
      <c r="E22">
        <v>44</v>
      </c>
      <c r="F22">
        <v>4</v>
      </c>
      <c r="G22">
        <v>847</v>
      </c>
      <c r="H22" s="1" t="s">
        <v>245</v>
      </c>
      <c r="I22">
        <v>21.17</v>
      </c>
      <c r="J22">
        <v>731</v>
      </c>
      <c r="K22">
        <v>115.86</v>
      </c>
      <c r="L22">
        <v>0</v>
      </c>
      <c r="M22">
        <v>3</v>
      </c>
      <c r="N22">
        <v>2</v>
      </c>
      <c r="O22">
        <v>71</v>
      </c>
      <c r="P22">
        <v>18</v>
      </c>
    </row>
    <row r="23" spans="1:16" x14ac:dyDescent="0.35">
      <c r="A23" s="1" t="s">
        <v>501</v>
      </c>
      <c r="B23" s="1" t="s">
        <v>433</v>
      </c>
      <c r="C23" s="1" t="s">
        <v>177</v>
      </c>
      <c r="D23">
        <v>36</v>
      </c>
      <c r="E23">
        <v>36</v>
      </c>
      <c r="F23">
        <v>3</v>
      </c>
      <c r="G23">
        <v>844</v>
      </c>
      <c r="H23" s="1" t="s">
        <v>418</v>
      </c>
      <c r="I23">
        <v>25.57</v>
      </c>
      <c r="J23">
        <v>830</v>
      </c>
      <c r="K23">
        <v>101.68</v>
      </c>
      <c r="L23">
        <v>0</v>
      </c>
      <c r="M23">
        <v>3</v>
      </c>
      <c r="N23">
        <v>4</v>
      </c>
      <c r="O23">
        <v>74</v>
      </c>
      <c r="P23">
        <v>13</v>
      </c>
    </row>
    <row r="24" spans="1:16" x14ac:dyDescent="0.35">
      <c r="A24" s="1" t="s">
        <v>445</v>
      </c>
      <c r="B24" s="1" t="s">
        <v>228</v>
      </c>
      <c r="C24" s="1" t="s">
        <v>63</v>
      </c>
      <c r="D24">
        <v>47</v>
      </c>
      <c r="E24">
        <v>46</v>
      </c>
      <c r="F24">
        <v>5</v>
      </c>
      <c r="G24">
        <v>843</v>
      </c>
      <c r="H24" s="1" t="s">
        <v>206</v>
      </c>
      <c r="I24">
        <v>20.56</v>
      </c>
      <c r="J24">
        <v>780</v>
      </c>
      <c r="K24">
        <v>108.07</v>
      </c>
      <c r="L24">
        <v>0</v>
      </c>
      <c r="M24">
        <v>6</v>
      </c>
      <c r="N24">
        <v>5</v>
      </c>
      <c r="O24">
        <v>83</v>
      </c>
      <c r="P24">
        <v>26</v>
      </c>
    </row>
    <row r="25" spans="1:16" x14ac:dyDescent="0.35">
      <c r="A25" s="1" t="s">
        <v>446</v>
      </c>
      <c r="B25" s="1" t="s">
        <v>305</v>
      </c>
      <c r="C25" s="1" t="s">
        <v>290</v>
      </c>
      <c r="D25">
        <v>29</v>
      </c>
      <c r="E25">
        <v>29</v>
      </c>
      <c r="F25">
        <v>4</v>
      </c>
      <c r="G25">
        <v>842</v>
      </c>
      <c r="H25" s="1" t="s">
        <v>68</v>
      </c>
      <c r="I25">
        <v>33.68</v>
      </c>
      <c r="J25">
        <v>566</v>
      </c>
      <c r="K25">
        <v>148.76</v>
      </c>
      <c r="L25">
        <v>1</v>
      </c>
      <c r="M25">
        <v>4</v>
      </c>
      <c r="N25">
        <v>4</v>
      </c>
      <c r="O25">
        <v>70</v>
      </c>
      <c r="P25">
        <v>48</v>
      </c>
    </row>
    <row r="26" spans="1:16" x14ac:dyDescent="0.35">
      <c r="A26" s="1" t="s">
        <v>633</v>
      </c>
      <c r="B26" s="1" t="s">
        <v>89</v>
      </c>
      <c r="C26" s="1" t="s">
        <v>78</v>
      </c>
      <c r="D26">
        <v>86</v>
      </c>
      <c r="E26">
        <v>60</v>
      </c>
      <c r="F26">
        <v>15</v>
      </c>
      <c r="G26">
        <v>839</v>
      </c>
      <c r="H26" s="1" t="s">
        <v>634</v>
      </c>
      <c r="I26">
        <v>18.64</v>
      </c>
      <c r="J26">
        <v>617</v>
      </c>
      <c r="K26">
        <v>135.97999999999999</v>
      </c>
      <c r="L26">
        <v>0</v>
      </c>
      <c r="M26">
        <v>0</v>
      </c>
      <c r="N26">
        <v>7</v>
      </c>
      <c r="O26">
        <v>62</v>
      </c>
      <c r="P26">
        <v>45</v>
      </c>
    </row>
    <row r="27" spans="1:16" x14ac:dyDescent="0.35">
      <c r="A27" s="1" t="s">
        <v>652</v>
      </c>
      <c r="B27" s="1" t="s">
        <v>88</v>
      </c>
      <c r="C27" s="1" t="s">
        <v>317</v>
      </c>
      <c r="D27">
        <v>33</v>
      </c>
      <c r="E27">
        <v>33</v>
      </c>
      <c r="F27">
        <v>5</v>
      </c>
      <c r="G27">
        <v>837</v>
      </c>
      <c r="H27" s="1" t="s">
        <v>653</v>
      </c>
      <c r="I27">
        <v>29.89</v>
      </c>
      <c r="J27">
        <v>596</v>
      </c>
      <c r="K27">
        <v>140.43</v>
      </c>
      <c r="L27">
        <v>1</v>
      </c>
      <c r="M27">
        <v>3</v>
      </c>
      <c r="N27">
        <v>1</v>
      </c>
      <c r="O27">
        <v>92</v>
      </c>
      <c r="P27">
        <v>26</v>
      </c>
    </row>
    <row r="28" spans="1:16" x14ac:dyDescent="0.35">
      <c r="A28" s="1" t="s">
        <v>483</v>
      </c>
      <c r="B28" s="1" t="s">
        <v>484</v>
      </c>
      <c r="C28" s="1" t="s">
        <v>177</v>
      </c>
      <c r="D28">
        <v>23</v>
      </c>
      <c r="E28">
        <v>23</v>
      </c>
      <c r="F28">
        <v>1</v>
      </c>
      <c r="G28">
        <v>830</v>
      </c>
      <c r="H28" s="1" t="s">
        <v>485</v>
      </c>
      <c r="I28">
        <v>37.72</v>
      </c>
      <c r="J28">
        <v>576</v>
      </c>
      <c r="K28">
        <v>144.09</v>
      </c>
      <c r="L28">
        <v>2</v>
      </c>
      <c r="M28">
        <v>4</v>
      </c>
      <c r="N28">
        <v>1</v>
      </c>
      <c r="O28">
        <v>72</v>
      </c>
      <c r="P28">
        <v>42</v>
      </c>
    </row>
    <row r="29" spans="1:16" x14ac:dyDescent="0.35">
      <c r="A29" s="1" t="s">
        <v>517</v>
      </c>
      <c r="B29" s="1" t="s">
        <v>482</v>
      </c>
      <c r="C29" s="1" t="s">
        <v>177</v>
      </c>
      <c r="D29">
        <v>77</v>
      </c>
      <c r="E29">
        <v>60</v>
      </c>
      <c r="F29">
        <v>18</v>
      </c>
      <c r="G29">
        <v>828</v>
      </c>
      <c r="H29" s="1" t="s">
        <v>518</v>
      </c>
      <c r="I29">
        <v>19.71</v>
      </c>
      <c r="J29">
        <v>917</v>
      </c>
      <c r="K29">
        <v>90.29</v>
      </c>
      <c r="L29">
        <v>0</v>
      </c>
      <c r="M29">
        <v>0</v>
      </c>
      <c r="N29">
        <v>3</v>
      </c>
      <c r="O29">
        <v>62</v>
      </c>
      <c r="P29">
        <v>29</v>
      </c>
    </row>
    <row r="30" spans="1:16" x14ac:dyDescent="0.35">
      <c r="A30" s="1" t="s">
        <v>449</v>
      </c>
      <c r="B30" s="1" t="s">
        <v>212</v>
      </c>
      <c r="C30" s="1" t="s">
        <v>118</v>
      </c>
      <c r="D30">
        <v>56</v>
      </c>
      <c r="E30">
        <v>51</v>
      </c>
      <c r="F30">
        <v>9</v>
      </c>
      <c r="G30">
        <v>826</v>
      </c>
      <c r="H30" s="1" t="s">
        <v>245</v>
      </c>
      <c r="I30">
        <v>19.66</v>
      </c>
      <c r="J30">
        <v>911</v>
      </c>
      <c r="K30">
        <v>90.66</v>
      </c>
      <c r="L30">
        <v>0</v>
      </c>
      <c r="M30">
        <v>3</v>
      </c>
      <c r="N30">
        <v>2</v>
      </c>
      <c r="O30">
        <v>74</v>
      </c>
      <c r="P30">
        <v>20</v>
      </c>
    </row>
    <row r="31" spans="1:16" x14ac:dyDescent="0.35">
      <c r="A31" s="1" t="s">
        <v>464</v>
      </c>
      <c r="B31" s="1" t="s">
        <v>176</v>
      </c>
      <c r="C31" s="1" t="s">
        <v>177</v>
      </c>
      <c r="D31">
        <v>42</v>
      </c>
      <c r="E31">
        <v>42</v>
      </c>
      <c r="F31">
        <v>3</v>
      </c>
      <c r="G31">
        <v>825</v>
      </c>
      <c r="H31" s="1" t="s">
        <v>465</v>
      </c>
      <c r="I31">
        <v>21.15</v>
      </c>
      <c r="J31">
        <v>627</v>
      </c>
      <c r="K31">
        <v>131.57</v>
      </c>
      <c r="L31">
        <v>1</v>
      </c>
      <c r="M31">
        <v>4</v>
      </c>
      <c r="N31">
        <v>7</v>
      </c>
      <c r="O31">
        <v>83</v>
      </c>
      <c r="P31">
        <v>33</v>
      </c>
    </row>
    <row r="32" spans="1:16" x14ac:dyDescent="0.35">
      <c r="A32" s="1" t="s">
        <v>515</v>
      </c>
      <c r="B32" s="1" t="s">
        <v>516</v>
      </c>
      <c r="C32" s="1" t="s">
        <v>177</v>
      </c>
      <c r="D32">
        <v>25</v>
      </c>
      <c r="E32">
        <v>25</v>
      </c>
      <c r="F32">
        <v>1</v>
      </c>
      <c r="G32">
        <v>823</v>
      </c>
      <c r="H32" s="1" t="s">
        <v>119</v>
      </c>
      <c r="I32">
        <v>34.29</v>
      </c>
      <c r="J32">
        <v>510</v>
      </c>
      <c r="K32">
        <v>161.37</v>
      </c>
      <c r="L32">
        <v>0</v>
      </c>
      <c r="M32">
        <v>8</v>
      </c>
      <c r="N32">
        <v>2</v>
      </c>
      <c r="O32">
        <v>87</v>
      </c>
      <c r="P32">
        <v>43</v>
      </c>
    </row>
    <row r="33" spans="1:16" x14ac:dyDescent="0.35">
      <c r="A33" s="1" t="s">
        <v>456</v>
      </c>
      <c r="B33" s="1" t="s">
        <v>412</v>
      </c>
      <c r="C33" s="1" t="s">
        <v>34</v>
      </c>
      <c r="D33">
        <v>32</v>
      </c>
      <c r="E33">
        <v>29</v>
      </c>
      <c r="F33">
        <v>3</v>
      </c>
      <c r="G33">
        <v>822</v>
      </c>
      <c r="H33" s="1" t="s">
        <v>23</v>
      </c>
      <c r="I33">
        <v>31.61</v>
      </c>
      <c r="J33">
        <v>615</v>
      </c>
      <c r="K33">
        <v>133.65</v>
      </c>
      <c r="L33">
        <v>1</v>
      </c>
      <c r="M33">
        <v>4</v>
      </c>
      <c r="N33">
        <v>3</v>
      </c>
      <c r="O33">
        <v>90</v>
      </c>
      <c r="P33">
        <v>35</v>
      </c>
    </row>
    <row r="34" spans="1:16" x14ac:dyDescent="0.35">
      <c r="A34" s="1" t="s">
        <v>526</v>
      </c>
      <c r="B34" s="1" t="s">
        <v>105</v>
      </c>
      <c r="C34" s="1" t="s">
        <v>177</v>
      </c>
      <c r="D34">
        <v>68</v>
      </c>
      <c r="E34">
        <v>57</v>
      </c>
      <c r="F34">
        <v>8</v>
      </c>
      <c r="G34">
        <v>821</v>
      </c>
      <c r="H34" s="1" t="s">
        <v>442</v>
      </c>
      <c r="I34">
        <v>16.75</v>
      </c>
      <c r="J34">
        <v>720</v>
      </c>
      <c r="K34">
        <v>114.02</v>
      </c>
      <c r="L34">
        <v>0</v>
      </c>
      <c r="M34">
        <v>2</v>
      </c>
      <c r="N34">
        <v>1</v>
      </c>
      <c r="O34">
        <v>59</v>
      </c>
      <c r="P34">
        <v>33</v>
      </c>
    </row>
    <row r="35" spans="1:16" x14ac:dyDescent="0.35">
      <c r="A35" s="1" t="s">
        <v>457</v>
      </c>
      <c r="B35" s="1" t="s">
        <v>89</v>
      </c>
      <c r="C35" s="1" t="s">
        <v>231</v>
      </c>
      <c r="D35">
        <v>61</v>
      </c>
      <c r="E35">
        <v>42</v>
      </c>
      <c r="F35">
        <v>12</v>
      </c>
      <c r="G35">
        <v>818</v>
      </c>
      <c r="H35" s="1" t="s">
        <v>158</v>
      </c>
      <c r="I35">
        <v>27.26</v>
      </c>
      <c r="J35">
        <v>653</v>
      </c>
      <c r="K35">
        <v>125.26</v>
      </c>
      <c r="L35">
        <v>0</v>
      </c>
      <c r="M35">
        <v>3</v>
      </c>
      <c r="N35">
        <v>2</v>
      </c>
      <c r="O35">
        <v>79</v>
      </c>
      <c r="P35">
        <v>15</v>
      </c>
    </row>
    <row r="36" spans="1:16" x14ac:dyDescent="0.35">
      <c r="A36" s="1" t="s">
        <v>459</v>
      </c>
      <c r="B36" s="1" t="s">
        <v>95</v>
      </c>
      <c r="C36" s="1" t="s">
        <v>460</v>
      </c>
      <c r="D36">
        <v>31</v>
      </c>
      <c r="E36">
        <v>31</v>
      </c>
      <c r="F36">
        <v>3</v>
      </c>
      <c r="G36">
        <v>817</v>
      </c>
      <c r="H36" s="1" t="s">
        <v>448</v>
      </c>
      <c r="I36">
        <v>29.17</v>
      </c>
      <c r="J36">
        <v>708</v>
      </c>
      <c r="K36">
        <v>115.39</v>
      </c>
      <c r="L36">
        <v>0</v>
      </c>
      <c r="M36">
        <v>7</v>
      </c>
      <c r="N36">
        <v>2</v>
      </c>
      <c r="O36">
        <v>84</v>
      </c>
      <c r="P36">
        <v>18</v>
      </c>
    </row>
    <row r="37" spans="1:16" x14ac:dyDescent="0.35">
      <c r="A37" s="1" t="s">
        <v>461</v>
      </c>
      <c r="B37" s="1" t="s">
        <v>164</v>
      </c>
      <c r="C37" s="1" t="s">
        <v>34</v>
      </c>
      <c r="D37">
        <v>47</v>
      </c>
      <c r="E37">
        <v>43</v>
      </c>
      <c r="F37">
        <v>5</v>
      </c>
      <c r="G37">
        <v>817</v>
      </c>
      <c r="H37" s="1" t="s">
        <v>23</v>
      </c>
      <c r="I37">
        <v>21.5</v>
      </c>
      <c r="J37">
        <v>679</v>
      </c>
      <c r="K37">
        <v>120.32</v>
      </c>
      <c r="L37">
        <v>1</v>
      </c>
      <c r="M37">
        <v>2</v>
      </c>
      <c r="N37">
        <v>6</v>
      </c>
      <c r="O37">
        <v>81</v>
      </c>
      <c r="P37">
        <v>38</v>
      </c>
    </row>
    <row r="38" spans="1:16" x14ac:dyDescent="0.35">
      <c r="A38" s="1" t="s">
        <v>463</v>
      </c>
      <c r="B38" s="1" t="s">
        <v>106</v>
      </c>
      <c r="C38" s="1" t="s">
        <v>36</v>
      </c>
      <c r="D38">
        <v>46</v>
      </c>
      <c r="E38">
        <v>44</v>
      </c>
      <c r="F38">
        <v>7</v>
      </c>
      <c r="G38">
        <v>812</v>
      </c>
      <c r="H38" s="1" t="s">
        <v>167</v>
      </c>
      <c r="I38">
        <v>21.94</v>
      </c>
      <c r="J38">
        <v>706</v>
      </c>
      <c r="K38">
        <v>115.01</v>
      </c>
      <c r="L38">
        <v>0</v>
      </c>
      <c r="M38">
        <v>4</v>
      </c>
      <c r="N38">
        <v>4</v>
      </c>
      <c r="O38">
        <v>71</v>
      </c>
      <c r="P38">
        <v>21</v>
      </c>
    </row>
    <row r="39" spans="1:16" x14ac:dyDescent="0.35">
      <c r="A39" s="1" t="s">
        <v>654</v>
      </c>
      <c r="B39" s="1" t="s">
        <v>101</v>
      </c>
      <c r="C39" s="1" t="s">
        <v>169</v>
      </c>
      <c r="D39">
        <v>71</v>
      </c>
      <c r="E39">
        <v>49</v>
      </c>
      <c r="F39">
        <v>18</v>
      </c>
      <c r="G39">
        <v>808</v>
      </c>
      <c r="H39" s="1" t="s">
        <v>655</v>
      </c>
      <c r="I39">
        <v>26.06</v>
      </c>
      <c r="J39">
        <v>561</v>
      </c>
      <c r="K39">
        <v>144.02000000000001</v>
      </c>
      <c r="L39">
        <v>0</v>
      </c>
      <c r="M39">
        <v>0</v>
      </c>
      <c r="N39">
        <v>4</v>
      </c>
      <c r="O39">
        <v>47</v>
      </c>
      <c r="P39">
        <v>58</v>
      </c>
    </row>
    <row r="40" spans="1:16" x14ac:dyDescent="0.35">
      <c r="A40" s="1" t="s">
        <v>466</v>
      </c>
      <c r="B40" s="1" t="s">
        <v>104</v>
      </c>
      <c r="C40" s="1" t="s">
        <v>63</v>
      </c>
      <c r="D40">
        <v>42</v>
      </c>
      <c r="E40">
        <v>39</v>
      </c>
      <c r="F40">
        <v>8</v>
      </c>
      <c r="G40">
        <v>805</v>
      </c>
      <c r="H40" s="1" t="s">
        <v>467</v>
      </c>
      <c r="I40">
        <v>25.96</v>
      </c>
      <c r="J40">
        <v>779</v>
      </c>
      <c r="K40">
        <v>103.33</v>
      </c>
      <c r="L40">
        <v>0</v>
      </c>
      <c r="M40">
        <v>4</v>
      </c>
      <c r="N40">
        <v>3</v>
      </c>
      <c r="O40">
        <v>96</v>
      </c>
      <c r="P40">
        <v>8</v>
      </c>
    </row>
    <row r="41" spans="1:16" x14ac:dyDescent="0.35">
      <c r="A41" s="1" t="s">
        <v>468</v>
      </c>
      <c r="B41" s="1" t="s">
        <v>164</v>
      </c>
      <c r="C41" s="1" t="s">
        <v>452</v>
      </c>
      <c r="D41">
        <v>35</v>
      </c>
      <c r="E41">
        <v>33</v>
      </c>
      <c r="F41">
        <v>4</v>
      </c>
      <c r="G41">
        <v>805</v>
      </c>
      <c r="H41" s="1" t="s">
        <v>65</v>
      </c>
      <c r="I41">
        <v>27.75</v>
      </c>
      <c r="J41">
        <v>713</v>
      </c>
      <c r="K41">
        <v>112.9</v>
      </c>
      <c r="L41">
        <v>0</v>
      </c>
      <c r="M41">
        <v>6</v>
      </c>
      <c r="N41">
        <v>3</v>
      </c>
      <c r="O41">
        <v>69</v>
      </c>
      <c r="P41">
        <v>23</v>
      </c>
    </row>
    <row r="42" spans="1:16" x14ac:dyDescent="0.35">
      <c r="A42" s="1" t="s">
        <v>520</v>
      </c>
      <c r="B42" s="1" t="s">
        <v>162</v>
      </c>
      <c r="C42" s="1" t="s">
        <v>317</v>
      </c>
      <c r="D42">
        <v>47</v>
      </c>
      <c r="E42">
        <v>43</v>
      </c>
      <c r="F42">
        <v>8</v>
      </c>
      <c r="G42">
        <v>803</v>
      </c>
      <c r="H42" s="1" t="s">
        <v>521</v>
      </c>
      <c r="I42">
        <v>22.94</v>
      </c>
      <c r="J42">
        <v>564</v>
      </c>
      <c r="K42">
        <v>142.37</v>
      </c>
      <c r="L42">
        <v>0</v>
      </c>
      <c r="M42">
        <v>1</v>
      </c>
      <c r="N42">
        <v>4</v>
      </c>
      <c r="O42">
        <v>38</v>
      </c>
      <c r="P42">
        <v>56</v>
      </c>
    </row>
    <row r="43" spans="1:16" x14ac:dyDescent="0.35">
      <c r="A43" s="1" t="s">
        <v>470</v>
      </c>
      <c r="B43" s="1" t="s">
        <v>111</v>
      </c>
      <c r="C43" s="1" t="s">
        <v>471</v>
      </c>
      <c r="D43">
        <v>33</v>
      </c>
      <c r="E43">
        <v>32</v>
      </c>
      <c r="F43">
        <v>3</v>
      </c>
      <c r="G43">
        <v>799</v>
      </c>
      <c r="H43" s="1" t="s">
        <v>41</v>
      </c>
      <c r="I43">
        <v>27.55</v>
      </c>
      <c r="J43">
        <v>624</v>
      </c>
      <c r="K43">
        <v>128.04</v>
      </c>
      <c r="L43">
        <v>1</v>
      </c>
      <c r="M43">
        <v>4</v>
      </c>
      <c r="N43">
        <v>3</v>
      </c>
      <c r="O43">
        <v>82</v>
      </c>
      <c r="P43">
        <v>26</v>
      </c>
    </row>
    <row r="44" spans="1:16" x14ac:dyDescent="0.35">
      <c r="A44" s="1" t="s">
        <v>522</v>
      </c>
      <c r="B44" s="1" t="s">
        <v>97</v>
      </c>
      <c r="C44" s="1" t="s">
        <v>177</v>
      </c>
      <c r="D44">
        <v>40</v>
      </c>
      <c r="E44">
        <v>34</v>
      </c>
      <c r="F44">
        <v>6</v>
      </c>
      <c r="G44">
        <v>799</v>
      </c>
      <c r="H44" s="1" t="s">
        <v>523</v>
      </c>
      <c r="I44">
        <v>28.53</v>
      </c>
      <c r="J44">
        <v>600</v>
      </c>
      <c r="K44">
        <v>133.16</v>
      </c>
      <c r="L44">
        <v>0</v>
      </c>
      <c r="M44">
        <v>2</v>
      </c>
      <c r="N44">
        <v>3</v>
      </c>
      <c r="O44">
        <v>68</v>
      </c>
      <c r="P44">
        <v>30</v>
      </c>
    </row>
    <row r="45" spans="1:16" x14ac:dyDescent="0.35">
      <c r="A45" s="1" t="s">
        <v>472</v>
      </c>
      <c r="B45" s="1" t="s">
        <v>127</v>
      </c>
      <c r="C45" s="1" t="s">
        <v>473</v>
      </c>
      <c r="D45">
        <v>51</v>
      </c>
      <c r="E45">
        <v>47</v>
      </c>
      <c r="F45">
        <v>4</v>
      </c>
      <c r="G45">
        <v>797</v>
      </c>
      <c r="H45" s="1" t="s">
        <v>83</v>
      </c>
      <c r="I45">
        <v>18.53</v>
      </c>
      <c r="J45">
        <v>670</v>
      </c>
      <c r="K45">
        <v>118.95</v>
      </c>
      <c r="L45">
        <v>1</v>
      </c>
      <c r="M45">
        <v>1</v>
      </c>
      <c r="N45">
        <v>6</v>
      </c>
      <c r="O45">
        <v>100</v>
      </c>
      <c r="P45">
        <v>25</v>
      </c>
    </row>
    <row r="46" spans="1:16" x14ac:dyDescent="0.35">
      <c r="A46" s="1" t="s">
        <v>474</v>
      </c>
      <c r="B46" s="1" t="s">
        <v>88</v>
      </c>
      <c r="C46" s="1" t="s">
        <v>475</v>
      </c>
      <c r="D46">
        <v>32</v>
      </c>
      <c r="E46">
        <v>32</v>
      </c>
      <c r="F46">
        <v>1</v>
      </c>
      <c r="G46">
        <v>796</v>
      </c>
      <c r="H46" s="1" t="s">
        <v>60</v>
      </c>
      <c r="I46">
        <v>25.67</v>
      </c>
      <c r="J46">
        <v>640</v>
      </c>
      <c r="K46">
        <v>124.37</v>
      </c>
      <c r="L46">
        <v>0</v>
      </c>
      <c r="M46">
        <v>6</v>
      </c>
      <c r="N46">
        <v>1</v>
      </c>
      <c r="O46">
        <v>79</v>
      </c>
      <c r="P46">
        <v>36</v>
      </c>
    </row>
    <row r="47" spans="1:16" x14ac:dyDescent="0.35">
      <c r="A47" s="1" t="s">
        <v>524</v>
      </c>
      <c r="B47" s="1" t="s">
        <v>525</v>
      </c>
      <c r="C47" s="1" t="s">
        <v>34</v>
      </c>
      <c r="D47">
        <v>28</v>
      </c>
      <c r="E47">
        <v>27</v>
      </c>
      <c r="F47">
        <v>3</v>
      </c>
      <c r="G47">
        <v>796</v>
      </c>
      <c r="H47" s="1" t="s">
        <v>31</v>
      </c>
      <c r="I47">
        <v>33.159999999999997</v>
      </c>
      <c r="J47">
        <v>667</v>
      </c>
      <c r="K47">
        <v>119.34</v>
      </c>
      <c r="L47">
        <v>1</v>
      </c>
      <c r="M47">
        <v>4</v>
      </c>
      <c r="N47">
        <v>0</v>
      </c>
      <c r="O47">
        <v>75</v>
      </c>
      <c r="P47">
        <v>24</v>
      </c>
    </row>
    <row r="48" spans="1:16" x14ac:dyDescent="0.35">
      <c r="A48" s="1" t="s">
        <v>477</v>
      </c>
      <c r="B48" s="1" t="s">
        <v>451</v>
      </c>
      <c r="C48" s="1" t="s">
        <v>478</v>
      </c>
      <c r="D48">
        <v>35</v>
      </c>
      <c r="E48">
        <v>34</v>
      </c>
      <c r="F48">
        <v>2</v>
      </c>
      <c r="G48">
        <v>795</v>
      </c>
      <c r="H48" s="1" t="s">
        <v>31</v>
      </c>
      <c r="I48">
        <v>24.84</v>
      </c>
      <c r="J48">
        <v>690</v>
      </c>
      <c r="K48">
        <v>115.21</v>
      </c>
      <c r="L48">
        <v>1</v>
      </c>
      <c r="M48">
        <v>4</v>
      </c>
      <c r="N48">
        <v>3</v>
      </c>
      <c r="O48">
        <v>72</v>
      </c>
      <c r="P48">
        <v>37</v>
      </c>
    </row>
    <row r="49" spans="1:16" x14ac:dyDescent="0.35">
      <c r="A49" s="1" t="s">
        <v>491</v>
      </c>
      <c r="B49" s="1" t="s">
        <v>95</v>
      </c>
      <c r="C49" s="1" t="s">
        <v>169</v>
      </c>
      <c r="D49">
        <v>64</v>
      </c>
      <c r="E49">
        <v>53</v>
      </c>
      <c r="F49">
        <v>17</v>
      </c>
      <c r="G49">
        <v>794</v>
      </c>
      <c r="H49" s="1" t="s">
        <v>492</v>
      </c>
      <c r="I49">
        <v>22.05</v>
      </c>
      <c r="J49">
        <v>625</v>
      </c>
      <c r="K49">
        <v>127.04</v>
      </c>
      <c r="L49">
        <v>0</v>
      </c>
      <c r="M49">
        <v>2</v>
      </c>
      <c r="N49">
        <v>3</v>
      </c>
      <c r="O49">
        <v>42</v>
      </c>
      <c r="P49">
        <v>41</v>
      </c>
    </row>
    <row r="50" spans="1:16" x14ac:dyDescent="0.35">
      <c r="A50" s="1" t="s">
        <v>527</v>
      </c>
      <c r="B50" s="1" t="s">
        <v>528</v>
      </c>
      <c r="C50" s="1" t="s">
        <v>38</v>
      </c>
      <c r="D50">
        <v>27</v>
      </c>
      <c r="E50">
        <v>27</v>
      </c>
      <c r="F50">
        <v>1</v>
      </c>
      <c r="G50">
        <v>793</v>
      </c>
      <c r="H50" s="1" t="s">
        <v>253</v>
      </c>
      <c r="I50">
        <v>30.5</v>
      </c>
      <c r="J50">
        <v>508</v>
      </c>
      <c r="K50">
        <v>156.1</v>
      </c>
      <c r="L50">
        <v>1</v>
      </c>
      <c r="M50">
        <v>5</v>
      </c>
      <c r="N50">
        <v>1</v>
      </c>
      <c r="O50">
        <v>83</v>
      </c>
      <c r="P50">
        <v>42</v>
      </c>
    </row>
    <row r="51" spans="1:16" x14ac:dyDescent="0.35">
      <c r="A51" s="1" t="s">
        <v>479</v>
      </c>
      <c r="B51" s="1" t="s">
        <v>89</v>
      </c>
      <c r="C51" s="1" t="s">
        <v>76</v>
      </c>
      <c r="D51">
        <v>112</v>
      </c>
      <c r="E51">
        <v>58</v>
      </c>
      <c r="F51">
        <v>14</v>
      </c>
      <c r="G51">
        <v>792</v>
      </c>
      <c r="H51" s="1" t="s">
        <v>480</v>
      </c>
      <c r="I51">
        <v>18</v>
      </c>
      <c r="J51">
        <v>565</v>
      </c>
      <c r="K51">
        <v>140.16999999999999</v>
      </c>
      <c r="L51">
        <v>0</v>
      </c>
      <c r="M51">
        <v>1</v>
      </c>
      <c r="N51">
        <v>6</v>
      </c>
      <c r="O51">
        <v>56</v>
      </c>
      <c r="P51">
        <v>38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A32C3-0A5B-49BF-BF89-E4CDB738374A}">
  <sheetPr codeName="Sheet7"/>
  <dimension ref="A1:T301"/>
  <sheetViews>
    <sheetView topLeftCell="A80" zoomScale="85" zoomScaleNormal="85" workbookViewId="0">
      <selection sqref="A1:Q301"/>
    </sheetView>
  </sheetViews>
  <sheetFormatPr defaultRowHeight="14.5" x14ac:dyDescent="0.35"/>
  <cols>
    <col min="1" max="1" width="20.1796875" bestFit="1" customWidth="1"/>
    <col min="2" max="2" width="10.36328125" bestFit="1" customWidth="1"/>
    <col min="3" max="3" width="13.1796875" bestFit="1" customWidth="1"/>
    <col min="4" max="4" width="11.36328125" bestFit="1" customWidth="1"/>
    <col min="5" max="6" width="7.1796875" bestFit="1" customWidth="1"/>
    <col min="7" max="7" width="6.36328125" bestFit="1" customWidth="1"/>
    <col min="8" max="8" width="7.81640625" bestFit="1" customWidth="1"/>
    <col min="9" max="9" width="5.90625" bestFit="1" customWidth="1"/>
    <col min="10" max="10" width="6.90625" bestFit="1" customWidth="1"/>
    <col min="11" max="11" width="5.7265625" bestFit="1" customWidth="1"/>
    <col min="12" max="12" width="7.36328125" bestFit="1" customWidth="1"/>
    <col min="13" max="13" width="6.81640625" bestFit="1" customWidth="1"/>
    <col min="14" max="14" width="5.7265625" bestFit="1" customWidth="1"/>
    <col min="15" max="15" width="4.7265625" bestFit="1" customWidth="1"/>
    <col min="16" max="16" width="5.54296875" customWidth="1"/>
    <col min="17" max="17" width="5.54296875" bestFit="1" customWidth="1"/>
    <col min="18" max="18" width="5.54296875" customWidth="1"/>
    <col min="19" max="19" width="5.54296875" bestFit="1" customWidth="1"/>
    <col min="20" max="20" width="10.54296875" hidden="1" customWidth="1"/>
    <col min="21" max="22" width="0" hidden="1" customWidth="1"/>
  </cols>
  <sheetData>
    <row r="1" spans="1:17" x14ac:dyDescent="0.35">
      <c r="A1" t="s">
        <v>86</v>
      </c>
      <c r="B1" t="s">
        <v>87</v>
      </c>
      <c r="C1" t="s">
        <v>586</v>
      </c>
      <c r="D1" t="s">
        <v>587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</row>
    <row r="2" spans="1:17" x14ac:dyDescent="0.35">
      <c r="A2" t="s">
        <v>530</v>
      </c>
      <c r="B2" s="1" t="s">
        <v>89</v>
      </c>
      <c r="C2" s="1">
        <v>2016</v>
      </c>
      <c r="D2" s="1">
        <v>2025</v>
      </c>
      <c r="E2">
        <v>136</v>
      </c>
      <c r="F2">
        <v>129</v>
      </c>
      <c r="G2">
        <v>17</v>
      </c>
      <c r="H2">
        <v>4429</v>
      </c>
      <c r="I2" s="1" t="s">
        <v>19</v>
      </c>
      <c r="J2">
        <v>39.54</v>
      </c>
      <c r="K2">
        <v>3448</v>
      </c>
      <c r="L2">
        <v>128.44999999999999</v>
      </c>
      <c r="M2">
        <v>3</v>
      </c>
      <c r="N2">
        <v>38</v>
      </c>
      <c r="O2">
        <v>10</v>
      </c>
      <c r="P2">
        <v>466</v>
      </c>
      <c r="Q2">
        <v>77</v>
      </c>
    </row>
    <row r="3" spans="1:17" x14ac:dyDescent="0.35">
      <c r="A3" t="s">
        <v>529</v>
      </c>
      <c r="B3" s="1" t="s">
        <v>88</v>
      </c>
      <c r="C3" s="1">
        <v>2007</v>
      </c>
      <c r="D3" s="1">
        <v>2024</v>
      </c>
      <c r="E3">
        <v>159</v>
      </c>
      <c r="F3">
        <v>151</v>
      </c>
      <c r="G3">
        <v>19</v>
      </c>
      <c r="H3">
        <v>4231</v>
      </c>
      <c r="I3" s="1" t="s">
        <v>16</v>
      </c>
      <c r="J3">
        <v>32.049999999999997</v>
      </c>
      <c r="K3">
        <v>3003</v>
      </c>
      <c r="L3">
        <v>140.88999999999999</v>
      </c>
      <c r="M3">
        <v>5</v>
      </c>
      <c r="N3">
        <v>32</v>
      </c>
      <c r="O3">
        <v>12</v>
      </c>
      <c r="P3">
        <v>383</v>
      </c>
      <c r="Q3">
        <v>205</v>
      </c>
    </row>
    <row r="4" spans="1:17" x14ac:dyDescent="0.35">
      <c r="A4" t="s">
        <v>531</v>
      </c>
      <c r="B4" s="1" t="s">
        <v>88</v>
      </c>
      <c r="C4" s="1">
        <v>2010</v>
      </c>
      <c r="D4" s="1">
        <v>2024</v>
      </c>
      <c r="E4">
        <v>125</v>
      </c>
      <c r="F4">
        <v>117</v>
      </c>
      <c r="G4">
        <v>31</v>
      </c>
      <c r="H4">
        <v>4188</v>
      </c>
      <c r="I4" s="1" t="s">
        <v>21</v>
      </c>
      <c r="J4">
        <v>48.69</v>
      </c>
      <c r="K4">
        <v>3056</v>
      </c>
      <c r="L4">
        <v>137.04</v>
      </c>
      <c r="M4">
        <v>1</v>
      </c>
      <c r="N4">
        <v>38</v>
      </c>
      <c r="O4">
        <v>7</v>
      </c>
      <c r="P4">
        <v>369</v>
      </c>
      <c r="Q4">
        <v>124</v>
      </c>
    </row>
    <row r="5" spans="1:17" x14ac:dyDescent="0.35">
      <c r="A5" t="s">
        <v>532</v>
      </c>
      <c r="B5" s="1" t="s">
        <v>90</v>
      </c>
      <c r="C5" s="1">
        <v>2011</v>
      </c>
      <c r="D5" s="1">
        <v>2025</v>
      </c>
      <c r="E5">
        <v>144</v>
      </c>
      <c r="F5">
        <v>132</v>
      </c>
      <c r="G5">
        <v>23</v>
      </c>
      <c r="H5">
        <v>3869</v>
      </c>
      <c r="I5" s="1" t="s">
        <v>23</v>
      </c>
      <c r="J5">
        <v>35.49</v>
      </c>
      <c r="K5">
        <v>2597</v>
      </c>
      <c r="L5">
        <v>148.97</v>
      </c>
      <c r="M5">
        <v>1</v>
      </c>
      <c r="N5">
        <v>28</v>
      </c>
      <c r="O5">
        <v>9</v>
      </c>
      <c r="P5">
        <v>350</v>
      </c>
      <c r="Q5">
        <v>172</v>
      </c>
    </row>
    <row r="6" spans="1:17" x14ac:dyDescent="0.35">
      <c r="A6" t="s">
        <v>533</v>
      </c>
      <c r="B6" s="1" t="s">
        <v>91</v>
      </c>
      <c r="C6" s="1">
        <v>2009</v>
      </c>
      <c r="D6" s="1">
        <v>2025</v>
      </c>
      <c r="E6">
        <v>155</v>
      </c>
      <c r="F6">
        <v>152</v>
      </c>
      <c r="G6">
        <v>11</v>
      </c>
      <c r="H6">
        <v>3760</v>
      </c>
      <c r="I6" s="1" t="s">
        <v>25</v>
      </c>
      <c r="J6">
        <v>26.66</v>
      </c>
      <c r="K6">
        <v>2783</v>
      </c>
      <c r="L6">
        <v>135.1</v>
      </c>
      <c r="M6">
        <v>1</v>
      </c>
      <c r="N6">
        <v>24</v>
      </c>
      <c r="O6">
        <v>13</v>
      </c>
      <c r="P6">
        <v>437</v>
      </c>
      <c r="Q6">
        <v>135</v>
      </c>
    </row>
    <row r="7" spans="1:17" x14ac:dyDescent="0.35">
      <c r="A7" t="s">
        <v>534</v>
      </c>
      <c r="B7" s="1" t="s">
        <v>92</v>
      </c>
      <c r="C7" s="1">
        <v>2009</v>
      </c>
      <c r="D7" s="1">
        <v>2022</v>
      </c>
      <c r="E7">
        <v>122</v>
      </c>
      <c r="F7">
        <v>118</v>
      </c>
      <c r="G7">
        <v>7</v>
      </c>
      <c r="H7">
        <v>3531</v>
      </c>
      <c r="I7" s="1" t="s">
        <v>27</v>
      </c>
      <c r="J7">
        <v>31.81</v>
      </c>
      <c r="K7">
        <v>2602</v>
      </c>
      <c r="L7">
        <v>135.69999999999999</v>
      </c>
      <c r="M7">
        <v>2</v>
      </c>
      <c r="N7">
        <v>20</v>
      </c>
      <c r="O7">
        <v>3</v>
      </c>
      <c r="P7">
        <v>309</v>
      </c>
      <c r="Q7">
        <v>173</v>
      </c>
    </row>
    <row r="8" spans="1:17" x14ac:dyDescent="0.35">
      <c r="A8" t="s">
        <v>535</v>
      </c>
      <c r="B8" s="1" t="s">
        <v>89</v>
      </c>
      <c r="C8" s="1">
        <v>2015</v>
      </c>
      <c r="D8" s="1">
        <v>2024</v>
      </c>
      <c r="E8">
        <v>106</v>
      </c>
      <c r="F8">
        <v>93</v>
      </c>
      <c r="G8">
        <v>21</v>
      </c>
      <c r="H8">
        <v>3414</v>
      </c>
      <c r="I8" s="1" t="s">
        <v>29</v>
      </c>
      <c r="J8">
        <v>47.41</v>
      </c>
      <c r="K8">
        <v>2723</v>
      </c>
      <c r="L8">
        <v>125.37</v>
      </c>
      <c r="M8">
        <v>1</v>
      </c>
      <c r="N8">
        <v>30</v>
      </c>
      <c r="O8">
        <v>5</v>
      </c>
      <c r="P8">
        <v>285</v>
      </c>
      <c r="Q8">
        <v>95</v>
      </c>
    </row>
    <row r="9" spans="1:17" x14ac:dyDescent="0.35">
      <c r="A9" t="s">
        <v>536</v>
      </c>
      <c r="B9" s="1" t="s">
        <v>93</v>
      </c>
      <c r="C9" s="1">
        <v>2009</v>
      </c>
      <c r="D9" s="1">
        <v>2024</v>
      </c>
      <c r="E9">
        <v>110</v>
      </c>
      <c r="F9">
        <v>110</v>
      </c>
      <c r="G9">
        <v>12</v>
      </c>
      <c r="H9">
        <v>3277</v>
      </c>
      <c r="I9" s="1" t="s">
        <v>31</v>
      </c>
      <c r="J9">
        <v>33.43</v>
      </c>
      <c r="K9">
        <v>2300</v>
      </c>
      <c r="L9">
        <v>142.47</v>
      </c>
      <c r="M9">
        <v>1</v>
      </c>
      <c r="N9">
        <v>28</v>
      </c>
      <c r="O9">
        <v>6</v>
      </c>
      <c r="P9">
        <v>337</v>
      </c>
      <c r="Q9">
        <v>122</v>
      </c>
    </row>
    <row r="10" spans="1:17" x14ac:dyDescent="0.35">
      <c r="A10" t="s">
        <v>537</v>
      </c>
      <c r="B10" s="1" t="s">
        <v>95</v>
      </c>
      <c r="C10" s="1">
        <v>2021</v>
      </c>
      <c r="D10" s="1">
        <v>2025</v>
      </c>
      <c r="E10">
        <v>91</v>
      </c>
      <c r="F10">
        <v>91</v>
      </c>
      <c r="G10">
        <v>5</v>
      </c>
      <c r="H10">
        <v>3184</v>
      </c>
      <c r="I10" s="1" t="s">
        <v>39</v>
      </c>
      <c r="J10">
        <v>37.020000000000003</v>
      </c>
      <c r="K10">
        <v>2098</v>
      </c>
      <c r="L10">
        <v>151.76</v>
      </c>
      <c r="M10">
        <v>3</v>
      </c>
      <c r="N10">
        <v>25</v>
      </c>
      <c r="O10">
        <v>6</v>
      </c>
      <c r="P10">
        <v>265</v>
      </c>
      <c r="Q10">
        <v>187</v>
      </c>
    </row>
    <row r="11" spans="1:17" x14ac:dyDescent="0.35">
      <c r="A11" t="s">
        <v>538</v>
      </c>
      <c r="B11" s="1" t="s">
        <v>93</v>
      </c>
      <c r="C11" s="1">
        <v>2011</v>
      </c>
      <c r="D11" s="1">
        <v>2022</v>
      </c>
      <c r="E11">
        <v>103</v>
      </c>
      <c r="F11">
        <v>103</v>
      </c>
      <c r="G11">
        <v>12</v>
      </c>
      <c r="H11">
        <v>3120</v>
      </c>
      <c r="I11" s="1" t="s">
        <v>33</v>
      </c>
      <c r="J11">
        <v>34.28</v>
      </c>
      <c r="K11">
        <v>2189</v>
      </c>
      <c r="L11">
        <v>142.53</v>
      </c>
      <c r="M11">
        <v>2</v>
      </c>
      <c r="N11">
        <v>19</v>
      </c>
      <c r="O11">
        <v>8</v>
      </c>
      <c r="P11">
        <v>309</v>
      </c>
      <c r="Q11">
        <v>125</v>
      </c>
    </row>
    <row r="12" spans="1:17" x14ac:dyDescent="0.35">
      <c r="A12" t="s">
        <v>539</v>
      </c>
      <c r="B12" s="1" t="s">
        <v>94</v>
      </c>
      <c r="C12" s="1">
        <v>2019</v>
      </c>
      <c r="D12" s="1">
        <v>2025</v>
      </c>
      <c r="E12">
        <v>107</v>
      </c>
      <c r="F12">
        <v>102</v>
      </c>
      <c r="G12">
        <v>19</v>
      </c>
      <c r="H12">
        <v>3115</v>
      </c>
      <c r="I12" s="1" t="s">
        <v>35</v>
      </c>
      <c r="J12">
        <v>37.53</v>
      </c>
      <c r="K12">
        <v>2456</v>
      </c>
      <c r="L12">
        <v>126.83</v>
      </c>
      <c r="M12">
        <v>1</v>
      </c>
      <c r="N12">
        <v>22</v>
      </c>
      <c r="O12">
        <v>5</v>
      </c>
      <c r="P12">
        <v>265</v>
      </c>
      <c r="Q12">
        <v>128</v>
      </c>
    </row>
    <row r="13" spans="1:17" x14ac:dyDescent="0.35">
      <c r="A13" t="s">
        <v>543</v>
      </c>
      <c r="B13" s="1" t="s">
        <v>100</v>
      </c>
      <c r="C13" s="1">
        <v>2013</v>
      </c>
      <c r="D13" s="1">
        <v>2025</v>
      </c>
      <c r="E13">
        <v>127</v>
      </c>
      <c r="F13">
        <v>122</v>
      </c>
      <c r="G13">
        <v>10</v>
      </c>
      <c r="H13">
        <v>2883</v>
      </c>
      <c r="I13" s="1" t="s">
        <v>53</v>
      </c>
      <c r="J13">
        <v>25.74</v>
      </c>
      <c r="K13">
        <v>2131</v>
      </c>
      <c r="L13">
        <v>135.28</v>
      </c>
      <c r="M13">
        <v>1</v>
      </c>
      <c r="N13">
        <v>16</v>
      </c>
      <c r="O13">
        <v>9</v>
      </c>
      <c r="P13">
        <v>222</v>
      </c>
      <c r="Q13">
        <v>133</v>
      </c>
    </row>
    <row r="14" spans="1:17" x14ac:dyDescent="0.35">
      <c r="A14" t="s">
        <v>540</v>
      </c>
      <c r="B14" s="1" t="s">
        <v>93</v>
      </c>
      <c r="C14" s="1">
        <v>2012</v>
      </c>
      <c r="D14" s="1">
        <v>2025</v>
      </c>
      <c r="E14">
        <v>126</v>
      </c>
      <c r="F14">
        <v>115</v>
      </c>
      <c r="G14">
        <v>18</v>
      </c>
      <c r="H14">
        <v>2835</v>
      </c>
      <c r="I14" s="1" t="s">
        <v>37</v>
      </c>
      <c r="J14">
        <v>29.22</v>
      </c>
      <c r="K14">
        <v>1820</v>
      </c>
      <c r="L14">
        <v>155.76</v>
      </c>
      <c r="M14">
        <v>5</v>
      </c>
      <c r="N14">
        <v>12</v>
      </c>
      <c r="O14">
        <v>5</v>
      </c>
      <c r="P14">
        <v>240</v>
      </c>
      <c r="Q14">
        <v>148</v>
      </c>
    </row>
    <row r="15" spans="1:17" x14ac:dyDescent="0.35">
      <c r="A15" t="s">
        <v>541</v>
      </c>
      <c r="B15" s="1" t="s">
        <v>94</v>
      </c>
      <c r="C15" s="1">
        <v>2019</v>
      </c>
      <c r="D15" s="1">
        <v>2025</v>
      </c>
      <c r="E15">
        <v>113</v>
      </c>
      <c r="F15">
        <v>109</v>
      </c>
      <c r="G15">
        <v>18</v>
      </c>
      <c r="H15">
        <v>2758</v>
      </c>
      <c r="I15" s="1" t="s">
        <v>46</v>
      </c>
      <c r="J15">
        <v>30.3</v>
      </c>
      <c r="K15">
        <v>1940</v>
      </c>
      <c r="L15">
        <v>142.16</v>
      </c>
      <c r="M15">
        <v>1</v>
      </c>
      <c r="N15">
        <v>19</v>
      </c>
      <c r="O15">
        <v>8</v>
      </c>
      <c r="P15">
        <v>247</v>
      </c>
      <c r="Q15">
        <v>142</v>
      </c>
    </row>
    <row r="16" spans="1:17" x14ac:dyDescent="0.35">
      <c r="A16" t="s">
        <v>542</v>
      </c>
      <c r="B16" s="1" t="s">
        <v>88</v>
      </c>
      <c r="C16" s="1">
        <v>2021</v>
      </c>
      <c r="D16" s="1">
        <v>2025</v>
      </c>
      <c r="E16">
        <v>95</v>
      </c>
      <c r="F16">
        <v>89</v>
      </c>
      <c r="G16">
        <v>14</v>
      </c>
      <c r="H16">
        <v>2754</v>
      </c>
      <c r="I16" s="1" t="s">
        <v>40</v>
      </c>
      <c r="J16">
        <v>36.72</v>
      </c>
      <c r="K16">
        <v>1675</v>
      </c>
      <c r="L16">
        <v>164.41</v>
      </c>
      <c r="M16">
        <v>4</v>
      </c>
      <c r="N16">
        <v>21</v>
      </c>
      <c r="O16">
        <v>6</v>
      </c>
      <c r="P16">
        <v>247</v>
      </c>
      <c r="Q16">
        <v>154</v>
      </c>
    </row>
    <row r="17" spans="1:17" x14ac:dyDescent="0.35">
      <c r="A17" t="s">
        <v>547</v>
      </c>
      <c r="B17" s="1" t="s">
        <v>98</v>
      </c>
      <c r="C17" s="1">
        <v>2015</v>
      </c>
      <c r="D17" s="1">
        <v>2025</v>
      </c>
      <c r="E17">
        <v>119</v>
      </c>
      <c r="F17">
        <v>117</v>
      </c>
      <c r="G17">
        <v>5</v>
      </c>
      <c r="H17">
        <v>2648</v>
      </c>
      <c r="I17" s="1" t="s">
        <v>54</v>
      </c>
      <c r="J17">
        <v>23.64</v>
      </c>
      <c r="K17">
        <v>2093</v>
      </c>
      <c r="L17">
        <v>126.51</v>
      </c>
      <c r="M17">
        <v>0</v>
      </c>
      <c r="N17">
        <v>16</v>
      </c>
      <c r="O17">
        <v>6</v>
      </c>
      <c r="P17">
        <v>257</v>
      </c>
      <c r="Q17">
        <v>81</v>
      </c>
    </row>
    <row r="18" spans="1:17" x14ac:dyDescent="0.35">
      <c r="A18" t="s">
        <v>545</v>
      </c>
      <c r="B18" s="1" t="s">
        <v>97</v>
      </c>
      <c r="C18" s="1">
        <v>2012</v>
      </c>
      <c r="D18" s="1">
        <v>2025</v>
      </c>
      <c r="E18">
        <v>96</v>
      </c>
      <c r="F18">
        <v>95</v>
      </c>
      <c r="G18">
        <v>9</v>
      </c>
      <c r="H18">
        <v>2615</v>
      </c>
      <c r="I18" s="1" t="s">
        <v>9</v>
      </c>
      <c r="J18">
        <v>30.4</v>
      </c>
      <c r="K18">
        <v>1893</v>
      </c>
      <c r="L18">
        <v>138.13999999999999</v>
      </c>
      <c r="M18">
        <v>1</v>
      </c>
      <c r="N18">
        <v>16</v>
      </c>
      <c r="O18">
        <v>8</v>
      </c>
      <c r="P18">
        <v>270</v>
      </c>
      <c r="Q18">
        <v>103</v>
      </c>
    </row>
    <row r="19" spans="1:17" x14ac:dyDescent="0.35">
      <c r="A19" t="s">
        <v>544</v>
      </c>
      <c r="B19" s="1" t="s">
        <v>97</v>
      </c>
      <c r="C19" s="1">
        <v>2010</v>
      </c>
      <c r="D19" s="1">
        <v>2024</v>
      </c>
      <c r="E19">
        <v>130</v>
      </c>
      <c r="F19">
        <v>114</v>
      </c>
      <c r="G19">
        <v>36</v>
      </c>
      <c r="H19">
        <v>2591</v>
      </c>
      <c r="I19" s="1" t="s">
        <v>41</v>
      </c>
      <c r="J19">
        <v>33.21</v>
      </c>
      <c r="K19">
        <v>1842</v>
      </c>
      <c r="L19">
        <v>140.66</v>
      </c>
      <c r="M19">
        <v>2</v>
      </c>
      <c r="N19">
        <v>8</v>
      </c>
      <c r="O19">
        <v>3</v>
      </c>
      <c r="P19">
        <v>168</v>
      </c>
      <c r="Q19">
        <v>130</v>
      </c>
    </row>
    <row r="20" spans="1:17" x14ac:dyDescent="0.35">
      <c r="A20" t="s">
        <v>546</v>
      </c>
      <c r="B20" s="1" t="s">
        <v>92</v>
      </c>
      <c r="C20" s="1">
        <v>2011</v>
      </c>
      <c r="D20" s="1">
        <v>2024</v>
      </c>
      <c r="E20">
        <v>93</v>
      </c>
      <c r="F20">
        <v>90</v>
      </c>
      <c r="G20">
        <v>13</v>
      </c>
      <c r="H20">
        <v>2575</v>
      </c>
      <c r="I20" s="1" t="s">
        <v>43</v>
      </c>
      <c r="J20">
        <v>33.44</v>
      </c>
      <c r="K20">
        <v>2092</v>
      </c>
      <c r="L20">
        <v>123.08</v>
      </c>
      <c r="M20">
        <v>0</v>
      </c>
      <c r="N20">
        <v>18</v>
      </c>
      <c r="O20">
        <v>4</v>
      </c>
      <c r="P20">
        <v>245</v>
      </c>
      <c r="Q20">
        <v>58</v>
      </c>
    </row>
    <row r="21" spans="1:17" x14ac:dyDescent="0.35">
      <c r="A21" t="s">
        <v>548</v>
      </c>
      <c r="B21" s="1" t="s">
        <v>98</v>
      </c>
      <c r="C21" s="1">
        <v>2006</v>
      </c>
      <c r="D21" s="1">
        <v>2024</v>
      </c>
      <c r="E21">
        <v>129</v>
      </c>
      <c r="F21">
        <v>127</v>
      </c>
      <c r="G21">
        <v>17</v>
      </c>
      <c r="H21">
        <v>2551</v>
      </c>
      <c r="I21" s="1" t="s">
        <v>45</v>
      </c>
      <c r="J21">
        <v>23.19</v>
      </c>
      <c r="K21">
        <v>2105</v>
      </c>
      <c r="L21">
        <v>121.18</v>
      </c>
      <c r="M21">
        <v>0</v>
      </c>
      <c r="N21">
        <v>13</v>
      </c>
      <c r="O21">
        <v>9</v>
      </c>
      <c r="P21">
        <v>258</v>
      </c>
      <c r="Q21">
        <v>53</v>
      </c>
    </row>
    <row r="22" spans="1:17" x14ac:dyDescent="0.35">
      <c r="A22" t="s">
        <v>549</v>
      </c>
      <c r="B22" s="1" t="s">
        <v>89</v>
      </c>
      <c r="C22" s="1">
        <v>2006</v>
      </c>
      <c r="D22" s="1">
        <v>2021</v>
      </c>
      <c r="E22">
        <v>119</v>
      </c>
      <c r="F22">
        <v>108</v>
      </c>
      <c r="G22">
        <v>13</v>
      </c>
      <c r="H22">
        <v>2514</v>
      </c>
      <c r="I22" s="1" t="s">
        <v>48</v>
      </c>
      <c r="J22">
        <v>26.46</v>
      </c>
      <c r="K22">
        <v>2060</v>
      </c>
      <c r="L22">
        <v>122.03</v>
      </c>
      <c r="M22">
        <v>0</v>
      </c>
      <c r="N22">
        <v>14</v>
      </c>
      <c r="O22">
        <v>7</v>
      </c>
      <c r="P22">
        <v>251</v>
      </c>
      <c r="Q22">
        <v>76</v>
      </c>
    </row>
    <row r="23" spans="1:17" x14ac:dyDescent="0.35">
      <c r="A23" t="s">
        <v>555</v>
      </c>
      <c r="B23" s="1" t="s">
        <v>97</v>
      </c>
      <c r="C23" s="1">
        <v>2014</v>
      </c>
      <c r="D23" s="1">
        <v>2025</v>
      </c>
      <c r="E23">
        <v>87</v>
      </c>
      <c r="F23">
        <v>86</v>
      </c>
      <c r="G23">
        <v>2</v>
      </c>
      <c r="H23">
        <v>2483</v>
      </c>
      <c r="I23" s="1" t="s">
        <v>40</v>
      </c>
      <c r="J23">
        <v>29.55</v>
      </c>
      <c r="K23">
        <v>1913</v>
      </c>
      <c r="L23">
        <v>129.79</v>
      </c>
      <c r="M23">
        <v>1</v>
      </c>
      <c r="N23">
        <v>18</v>
      </c>
      <c r="O23">
        <v>6</v>
      </c>
      <c r="P23">
        <v>267</v>
      </c>
      <c r="Q23">
        <v>69</v>
      </c>
    </row>
    <row r="24" spans="1:17" x14ac:dyDescent="0.35">
      <c r="A24" t="s">
        <v>550</v>
      </c>
      <c r="B24" s="1" t="s">
        <v>90</v>
      </c>
      <c r="C24" s="1">
        <v>2009</v>
      </c>
      <c r="D24" s="1">
        <v>2022</v>
      </c>
      <c r="E24">
        <v>115</v>
      </c>
      <c r="F24">
        <v>107</v>
      </c>
      <c r="G24">
        <v>21</v>
      </c>
      <c r="H24">
        <v>2458</v>
      </c>
      <c r="I24" s="1" t="s">
        <v>49</v>
      </c>
      <c r="J24">
        <v>28.58</v>
      </c>
      <c r="K24">
        <v>1805</v>
      </c>
      <c r="L24">
        <v>136.16999999999999</v>
      </c>
      <c r="M24">
        <v>0</v>
      </c>
      <c r="N24">
        <v>14</v>
      </c>
      <c r="O24">
        <v>3</v>
      </c>
      <c r="P24">
        <v>186</v>
      </c>
      <c r="Q24">
        <v>120</v>
      </c>
    </row>
    <row r="25" spans="1:17" x14ac:dyDescent="0.35">
      <c r="A25" t="s">
        <v>551</v>
      </c>
      <c r="B25" s="1" t="s">
        <v>98</v>
      </c>
      <c r="C25" s="1">
        <v>2007</v>
      </c>
      <c r="D25" s="1">
        <v>2024</v>
      </c>
      <c r="E25">
        <v>141</v>
      </c>
      <c r="F25">
        <v>130</v>
      </c>
      <c r="G25">
        <v>26</v>
      </c>
      <c r="H25">
        <v>2444</v>
      </c>
      <c r="I25" s="1" t="s">
        <v>50</v>
      </c>
      <c r="J25">
        <v>23.5</v>
      </c>
      <c r="K25">
        <v>2082</v>
      </c>
      <c r="L25">
        <v>117.38</v>
      </c>
      <c r="M25">
        <v>0</v>
      </c>
      <c r="N25">
        <v>8</v>
      </c>
      <c r="O25">
        <v>5</v>
      </c>
      <c r="P25">
        <v>184</v>
      </c>
      <c r="Q25">
        <v>77</v>
      </c>
    </row>
    <row r="26" spans="1:17" x14ac:dyDescent="0.35">
      <c r="A26" t="s">
        <v>552</v>
      </c>
      <c r="B26" s="1" t="s">
        <v>89</v>
      </c>
      <c r="C26" s="1">
        <v>2006</v>
      </c>
      <c r="D26" s="1">
        <v>2021</v>
      </c>
      <c r="E26">
        <v>124</v>
      </c>
      <c r="F26">
        <v>111</v>
      </c>
      <c r="G26">
        <v>33</v>
      </c>
      <c r="H26">
        <v>2435</v>
      </c>
      <c r="I26" s="1" t="s">
        <v>51</v>
      </c>
      <c r="J26">
        <v>31.21</v>
      </c>
      <c r="K26">
        <v>1938</v>
      </c>
      <c r="L26">
        <v>125.64</v>
      </c>
      <c r="M26">
        <v>0</v>
      </c>
      <c r="N26">
        <v>9</v>
      </c>
      <c r="O26">
        <v>2</v>
      </c>
      <c r="P26">
        <v>196</v>
      </c>
      <c r="Q26">
        <v>69</v>
      </c>
    </row>
    <row r="27" spans="1:17" x14ac:dyDescent="0.35">
      <c r="A27" t="s">
        <v>553</v>
      </c>
      <c r="B27" s="1" t="s">
        <v>103</v>
      </c>
      <c r="C27" s="1">
        <v>2010</v>
      </c>
      <c r="D27" s="1">
        <v>2025</v>
      </c>
      <c r="E27">
        <v>145</v>
      </c>
      <c r="F27">
        <v>135</v>
      </c>
      <c r="G27">
        <v>27</v>
      </c>
      <c r="H27">
        <v>2417</v>
      </c>
      <c r="I27" s="1" t="s">
        <v>60</v>
      </c>
      <c r="J27">
        <v>22.37</v>
      </c>
      <c r="K27">
        <v>1770</v>
      </c>
      <c r="L27">
        <v>136.55000000000001</v>
      </c>
      <c r="M27">
        <v>0</v>
      </c>
      <c r="N27">
        <v>7</v>
      </c>
      <c r="O27">
        <v>9</v>
      </c>
      <c r="P27">
        <v>166</v>
      </c>
      <c r="Q27">
        <v>122</v>
      </c>
    </row>
    <row r="28" spans="1:17" x14ac:dyDescent="0.35">
      <c r="A28" t="s">
        <v>554</v>
      </c>
      <c r="B28" s="1" t="s">
        <v>91</v>
      </c>
      <c r="C28" s="1">
        <v>2015</v>
      </c>
      <c r="D28" s="1">
        <v>2024</v>
      </c>
      <c r="E28">
        <v>110</v>
      </c>
      <c r="F28">
        <v>106</v>
      </c>
      <c r="G28">
        <v>4</v>
      </c>
      <c r="H28">
        <v>2392</v>
      </c>
      <c r="I28" s="1" t="s">
        <v>54</v>
      </c>
      <c r="J28">
        <v>23.45</v>
      </c>
      <c r="K28">
        <v>1941</v>
      </c>
      <c r="L28">
        <v>123.23</v>
      </c>
      <c r="M28">
        <v>0</v>
      </c>
      <c r="N28">
        <v>12</v>
      </c>
      <c r="O28">
        <v>6</v>
      </c>
      <c r="P28">
        <v>254</v>
      </c>
      <c r="Q28">
        <v>68</v>
      </c>
    </row>
    <row r="29" spans="1:17" x14ac:dyDescent="0.35">
      <c r="A29" t="s">
        <v>556</v>
      </c>
      <c r="B29" s="1" t="s">
        <v>105</v>
      </c>
      <c r="C29" s="1">
        <v>2014</v>
      </c>
      <c r="D29" s="1">
        <v>2025</v>
      </c>
      <c r="E29">
        <v>120</v>
      </c>
      <c r="F29">
        <v>117</v>
      </c>
      <c r="G29">
        <v>9</v>
      </c>
      <c r="H29">
        <v>2386</v>
      </c>
      <c r="I29" s="1" t="s">
        <v>65</v>
      </c>
      <c r="J29">
        <v>22.09</v>
      </c>
      <c r="K29">
        <v>1982</v>
      </c>
      <c r="L29">
        <v>120.38</v>
      </c>
      <c r="M29">
        <v>0</v>
      </c>
      <c r="N29">
        <v>12</v>
      </c>
      <c r="O29">
        <v>9</v>
      </c>
      <c r="P29">
        <v>192</v>
      </c>
      <c r="Q29">
        <v>80</v>
      </c>
    </row>
    <row r="30" spans="1:17" x14ac:dyDescent="0.35">
      <c r="A30" t="s">
        <v>560</v>
      </c>
      <c r="B30" s="1" t="s">
        <v>89</v>
      </c>
      <c r="C30" s="1">
        <v>2017</v>
      </c>
      <c r="D30" s="1">
        <v>2025</v>
      </c>
      <c r="E30">
        <v>114</v>
      </c>
      <c r="F30">
        <v>105</v>
      </c>
      <c r="G30">
        <v>6</v>
      </c>
      <c r="H30">
        <v>2360</v>
      </c>
      <c r="I30" s="1" t="s">
        <v>49</v>
      </c>
      <c r="J30">
        <v>23.83</v>
      </c>
      <c r="K30">
        <v>1791</v>
      </c>
      <c r="L30">
        <v>131.76</v>
      </c>
      <c r="M30">
        <v>0</v>
      </c>
      <c r="N30">
        <v>13</v>
      </c>
      <c r="O30">
        <v>6</v>
      </c>
      <c r="P30">
        <v>219</v>
      </c>
      <c r="Q30">
        <v>93</v>
      </c>
    </row>
    <row r="31" spans="1:17" x14ac:dyDescent="0.35">
      <c r="A31" t="s">
        <v>565</v>
      </c>
      <c r="B31" s="1" t="s">
        <v>108</v>
      </c>
      <c r="C31" s="1">
        <v>2021</v>
      </c>
      <c r="D31" s="1">
        <v>2025</v>
      </c>
      <c r="E31">
        <v>79</v>
      </c>
      <c r="F31">
        <v>78</v>
      </c>
      <c r="G31">
        <v>4</v>
      </c>
      <c r="H31">
        <v>2345</v>
      </c>
      <c r="I31" s="1" t="s">
        <v>85</v>
      </c>
      <c r="J31">
        <v>31.68</v>
      </c>
      <c r="K31">
        <v>1847</v>
      </c>
      <c r="L31">
        <v>126.96</v>
      </c>
      <c r="M31">
        <v>1</v>
      </c>
      <c r="N31">
        <v>18</v>
      </c>
      <c r="O31">
        <v>6</v>
      </c>
      <c r="P31">
        <v>239</v>
      </c>
      <c r="Q31">
        <v>64</v>
      </c>
    </row>
    <row r="32" spans="1:17" x14ac:dyDescent="0.35">
      <c r="A32" t="s">
        <v>557</v>
      </c>
      <c r="B32" s="1" t="s">
        <v>102</v>
      </c>
      <c r="C32" s="1">
        <v>2008</v>
      </c>
      <c r="D32" s="1">
        <v>2025</v>
      </c>
      <c r="E32">
        <v>102</v>
      </c>
      <c r="F32">
        <v>93</v>
      </c>
      <c r="G32">
        <v>18</v>
      </c>
      <c r="H32">
        <v>2335</v>
      </c>
      <c r="I32" s="1" t="s">
        <v>9</v>
      </c>
      <c r="J32">
        <v>31.13</v>
      </c>
      <c r="K32">
        <v>1787</v>
      </c>
      <c r="L32">
        <v>130.66</v>
      </c>
      <c r="M32">
        <v>1</v>
      </c>
      <c r="N32">
        <v>10</v>
      </c>
      <c r="O32">
        <v>10</v>
      </c>
      <c r="P32">
        <v>192</v>
      </c>
      <c r="Q32">
        <v>83</v>
      </c>
    </row>
    <row r="33" spans="1:17" x14ac:dyDescent="0.35">
      <c r="A33" t="s">
        <v>561</v>
      </c>
      <c r="B33" s="1" t="s">
        <v>108</v>
      </c>
      <c r="C33" s="1">
        <v>2013</v>
      </c>
      <c r="D33" s="1">
        <v>2025</v>
      </c>
      <c r="E33">
        <v>93</v>
      </c>
      <c r="F33">
        <v>91</v>
      </c>
      <c r="G33">
        <v>4</v>
      </c>
      <c r="H33">
        <v>2312</v>
      </c>
      <c r="I33" s="1" t="s">
        <v>69</v>
      </c>
      <c r="J33">
        <v>26.57</v>
      </c>
      <c r="K33">
        <v>1740</v>
      </c>
      <c r="L33">
        <v>132.87</v>
      </c>
      <c r="M33">
        <v>1</v>
      </c>
      <c r="N33">
        <v>16</v>
      </c>
      <c r="O33">
        <v>6</v>
      </c>
      <c r="P33">
        <v>223</v>
      </c>
      <c r="Q33">
        <v>72</v>
      </c>
    </row>
    <row r="34" spans="1:17" x14ac:dyDescent="0.35">
      <c r="A34" t="s">
        <v>558</v>
      </c>
      <c r="B34" s="1" t="s">
        <v>106</v>
      </c>
      <c r="C34" s="1">
        <v>2015</v>
      </c>
      <c r="D34" s="1">
        <v>2025</v>
      </c>
      <c r="E34">
        <v>87</v>
      </c>
      <c r="F34">
        <v>84</v>
      </c>
      <c r="G34">
        <v>7</v>
      </c>
      <c r="H34">
        <v>2309</v>
      </c>
      <c r="I34" s="1" t="s">
        <v>53</v>
      </c>
      <c r="J34">
        <v>29.98</v>
      </c>
      <c r="K34">
        <v>1888</v>
      </c>
      <c r="L34">
        <v>122.29</v>
      </c>
      <c r="M34">
        <v>1</v>
      </c>
      <c r="N34">
        <v>16</v>
      </c>
      <c r="O34">
        <v>2</v>
      </c>
      <c r="P34">
        <v>239</v>
      </c>
      <c r="Q34">
        <v>54</v>
      </c>
    </row>
    <row r="35" spans="1:17" x14ac:dyDescent="0.35">
      <c r="A35" t="s">
        <v>559</v>
      </c>
      <c r="B35" s="1" t="s">
        <v>102</v>
      </c>
      <c r="C35" s="1">
        <v>2015</v>
      </c>
      <c r="D35" s="1">
        <v>2025</v>
      </c>
      <c r="E35">
        <v>81</v>
      </c>
      <c r="F35">
        <v>79</v>
      </c>
      <c r="G35">
        <v>5</v>
      </c>
      <c r="H35">
        <v>2302</v>
      </c>
      <c r="I35" s="1" t="s">
        <v>62</v>
      </c>
      <c r="J35">
        <v>31.1</v>
      </c>
      <c r="K35">
        <v>1596</v>
      </c>
      <c r="L35">
        <v>144.22999999999999</v>
      </c>
      <c r="M35">
        <v>2</v>
      </c>
      <c r="N35">
        <v>13</v>
      </c>
      <c r="O35">
        <v>6</v>
      </c>
      <c r="P35">
        <v>247</v>
      </c>
      <c r="Q35">
        <v>105</v>
      </c>
    </row>
    <row r="36" spans="1:17" x14ac:dyDescent="0.35">
      <c r="A36" t="s">
        <v>567</v>
      </c>
      <c r="B36" s="1" t="s">
        <v>108</v>
      </c>
      <c r="C36" s="1">
        <v>2016</v>
      </c>
      <c r="D36" s="1">
        <v>2025</v>
      </c>
      <c r="E36">
        <v>95</v>
      </c>
      <c r="F36">
        <v>95</v>
      </c>
      <c r="G36">
        <v>5</v>
      </c>
      <c r="H36">
        <v>2286</v>
      </c>
      <c r="I36" s="1" t="s">
        <v>79</v>
      </c>
      <c r="J36">
        <v>25.4</v>
      </c>
      <c r="K36">
        <v>1756</v>
      </c>
      <c r="L36">
        <v>130.18</v>
      </c>
      <c r="M36">
        <v>0</v>
      </c>
      <c r="N36">
        <v>17</v>
      </c>
      <c r="O36">
        <v>8</v>
      </c>
      <c r="P36">
        <v>200</v>
      </c>
      <c r="Q36">
        <v>91</v>
      </c>
    </row>
    <row r="37" spans="1:17" x14ac:dyDescent="0.35">
      <c r="A37" t="s">
        <v>563</v>
      </c>
      <c r="B37" s="1" t="s">
        <v>105</v>
      </c>
      <c r="C37" s="1">
        <v>2014</v>
      </c>
      <c r="D37" s="1">
        <v>2025</v>
      </c>
      <c r="E37">
        <v>100</v>
      </c>
      <c r="F37">
        <v>96</v>
      </c>
      <c r="G37">
        <v>13</v>
      </c>
      <c r="H37">
        <v>2280</v>
      </c>
      <c r="I37" s="1" t="s">
        <v>19</v>
      </c>
      <c r="J37">
        <v>27.46</v>
      </c>
      <c r="K37">
        <v>1768</v>
      </c>
      <c r="L37">
        <v>128.94999999999999</v>
      </c>
      <c r="M37">
        <v>2</v>
      </c>
      <c r="N37">
        <v>12</v>
      </c>
      <c r="O37">
        <v>8</v>
      </c>
      <c r="P37">
        <v>136</v>
      </c>
      <c r="Q37">
        <v>140</v>
      </c>
    </row>
    <row r="38" spans="1:17" x14ac:dyDescent="0.35">
      <c r="A38" t="s">
        <v>562</v>
      </c>
      <c r="B38" s="1" t="s">
        <v>101</v>
      </c>
      <c r="C38" s="1">
        <v>2016</v>
      </c>
      <c r="D38" s="1">
        <v>2024</v>
      </c>
      <c r="E38">
        <v>106</v>
      </c>
      <c r="F38">
        <v>97</v>
      </c>
      <c r="G38">
        <v>10</v>
      </c>
      <c r="H38">
        <v>2275</v>
      </c>
      <c r="I38" s="1" t="s">
        <v>55</v>
      </c>
      <c r="J38">
        <v>26.14</v>
      </c>
      <c r="K38">
        <v>1668</v>
      </c>
      <c r="L38">
        <v>136.38999999999999</v>
      </c>
      <c r="M38">
        <v>0</v>
      </c>
      <c r="N38">
        <v>13</v>
      </c>
      <c r="O38">
        <v>3</v>
      </c>
      <c r="P38">
        <v>152</v>
      </c>
      <c r="Q38">
        <v>149</v>
      </c>
    </row>
    <row r="39" spans="1:17" x14ac:dyDescent="0.35">
      <c r="A39" t="s">
        <v>564</v>
      </c>
      <c r="B39" s="1" t="s">
        <v>88</v>
      </c>
      <c r="C39" s="1">
        <v>2016</v>
      </c>
      <c r="D39" s="1">
        <v>2022</v>
      </c>
      <c r="E39">
        <v>72</v>
      </c>
      <c r="F39">
        <v>68</v>
      </c>
      <c r="G39">
        <v>8</v>
      </c>
      <c r="H39">
        <v>2265</v>
      </c>
      <c r="I39" s="1" t="s">
        <v>58</v>
      </c>
      <c r="J39">
        <v>37.75</v>
      </c>
      <c r="K39">
        <v>1628</v>
      </c>
      <c r="L39">
        <v>139.12</v>
      </c>
      <c r="M39">
        <v>2</v>
      </c>
      <c r="N39">
        <v>22</v>
      </c>
      <c r="O39">
        <v>5</v>
      </c>
      <c r="P39">
        <v>191</v>
      </c>
      <c r="Q39">
        <v>99</v>
      </c>
    </row>
    <row r="40" spans="1:17" x14ac:dyDescent="0.35">
      <c r="A40" t="s">
        <v>566</v>
      </c>
      <c r="B40" s="1" t="s">
        <v>104</v>
      </c>
      <c r="C40" s="1">
        <v>2021</v>
      </c>
      <c r="D40" s="1">
        <v>2024</v>
      </c>
      <c r="E40">
        <v>88</v>
      </c>
      <c r="F40">
        <v>86</v>
      </c>
      <c r="G40">
        <v>10</v>
      </c>
      <c r="H40">
        <v>2204</v>
      </c>
      <c r="I40" s="1" t="s">
        <v>31</v>
      </c>
      <c r="J40">
        <v>29</v>
      </c>
      <c r="K40">
        <v>1789</v>
      </c>
      <c r="L40">
        <v>123.19</v>
      </c>
      <c r="M40">
        <v>1</v>
      </c>
      <c r="N40">
        <v>17</v>
      </c>
      <c r="O40">
        <v>8</v>
      </c>
      <c r="P40">
        <v>237</v>
      </c>
      <c r="Q40">
        <v>73</v>
      </c>
    </row>
    <row r="41" spans="1:17" x14ac:dyDescent="0.35">
      <c r="A41" t="s">
        <v>568</v>
      </c>
      <c r="B41" s="1" t="s">
        <v>92</v>
      </c>
      <c r="C41" s="1">
        <v>2005</v>
      </c>
      <c r="D41" s="1">
        <v>2015</v>
      </c>
      <c r="E41">
        <v>71</v>
      </c>
      <c r="F41">
        <v>70</v>
      </c>
      <c r="G41">
        <v>10</v>
      </c>
      <c r="H41">
        <v>2140</v>
      </c>
      <c r="I41" s="1" t="s">
        <v>67</v>
      </c>
      <c r="J41">
        <v>35.659999999999997</v>
      </c>
      <c r="K41">
        <v>1571</v>
      </c>
      <c r="L41">
        <v>136.21</v>
      </c>
      <c r="M41">
        <v>2</v>
      </c>
      <c r="N41">
        <v>13</v>
      </c>
      <c r="O41">
        <v>3</v>
      </c>
      <c r="P41">
        <v>199</v>
      </c>
      <c r="Q41">
        <v>91</v>
      </c>
    </row>
    <row r="42" spans="1:17" x14ac:dyDescent="0.35">
      <c r="A42" t="s">
        <v>572</v>
      </c>
      <c r="B42" s="1" t="s">
        <v>93</v>
      </c>
      <c r="C42" s="1">
        <v>2011</v>
      </c>
      <c r="D42" s="1">
        <v>2025</v>
      </c>
      <c r="E42">
        <v>81</v>
      </c>
      <c r="F42">
        <v>76</v>
      </c>
      <c r="G42">
        <v>13</v>
      </c>
      <c r="H42">
        <v>2083</v>
      </c>
      <c r="I42" s="1" t="s">
        <v>83</v>
      </c>
      <c r="J42">
        <v>33.06</v>
      </c>
      <c r="K42">
        <v>1490</v>
      </c>
      <c r="L42">
        <v>139.79</v>
      </c>
      <c r="M42">
        <v>1</v>
      </c>
      <c r="N42">
        <v>11</v>
      </c>
      <c r="O42">
        <v>3</v>
      </c>
      <c r="P42">
        <v>178</v>
      </c>
      <c r="Q42">
        <v>105</v>
      </c>
    </row>
    <row r="43" spans="1:17" x14ac:dyDescent="0.35">
      <c r="A43" t="s">
        <v>569</v>
      </c>
      <c r="B43" s="1" t="s">
        <v>90</v>
      </c>
      <c r="C43" s="1">
        <v>2011</v>
      </c>
      <c r="D43" s="1">
        <v>2022</v>
      </c>
      <c r="E43">
        <v>75</v>
      </c>
      <c r="F43">
        <v>75</v>
      </c>
      <c r="G43">
        <v>8</v>
      </c>
      <c r="H43">
        <v>2074</v>
      </c>
      <c r="I43" s="1" t="s">
        <v>35</v>
      </c>
      <c r="J43">
        <v>30.95</v>
      </c>
      <c r="K43">
        <v>1499</v>
      </c>
      <c r="L43">
        <v>138.35</v>
      </c>
      <c r="M43">
        <v>1</v>
      </c>
      <c r="N43">
        <v>12</v>
      </c>
      <c r="O43">
        <v>5</v>
      </c>
      <c r="P43">
        <v>225</v>
      </c>
      <c r="Q43">
        <v>70</v>
      </c>
    </row>
    <row r="44" spans="1:17" x14ac:dyDescent="0.35">
      <c r="A44" t="s">
        <v>591</v>
      </c>
      <c r="B44" s="1" t="s">
        <v>101</v>
      </c>
      <c r="C44" s="1">
        <v>2017</v>
      </c>
      <c r="D44" s="1">
        <v>2025</v>
      </c>
      <c r="E44">
        <v>107</v>
      </c>
      <c r="F44">
        <v>94</v>
      </c>
      <c r="G44">
        <v>14</v>
      </c>
      <c r="H44">
        <v>2068</v>
      </c>
      <c r="I44" s="1" t="s">
        <v>85</v>
      </c>
      <c r="J44">
        <v>25.85</v>
      </c>
      <c r="K44">
        <v>1453</v>
      </c>
      <c r="L44">
        <v>142.32</v>
      </c>
      <c r="M44">
        <v>1</v>
      </c>
      <c r="N44">
        <v>9</v>
      </c>
      <c r="O44">
        <v>2</v>
      </c>
      <c r="P44">
        <v>123</v>
      </c>
      <c r="Q44">
        <v>138</v>
      </c>
    </row>
    <row r="45" spans="1:17" x14ac:dyDescent="0.35">
      <c r="A45" t="s">
        <v>632</v>
      </c>
      <c r="B45" s="1" t="s">
        <v>103</v>
      </c>
      <c r="C45" s="1">
        <v>2019</v>
      </c>
      <c r="D45" s="1">
        <v>2025</v>
      </c>
      <c r="E45">
        <v>80</v>
      </c>
      <c r="F45">
        <v>80</v>
      </c>
      <c r="G45">
        <v>0</v>
      </c>
      <c r="H45">
        <v>2067</v>
      </c>
      <c r="I45" s="1" t="s">
        <v>9</v>
      </c>
      <c r="J45">
        <v>25.83</v>
      </c>
      <c r="K45">
        <v>1533</v>
      </c>
      <c r="L45">
        <v>134.83000000000001</v>
      </c>
      <c r="M45">
        <v>1</v>
      </c>
      <c r="N45">
        <v>11</v>
      </c>
      <c r="O45">
        <v>8</v>
      </c>
      <c r="P45">
        <v>161</v>
      </c>
      <c r="Q45">
        <v>113</v>
      </c>
    </row>
    <row r="46" spans="1:17" x14ac:dyDescent="0.35">
      <c r="A46" t="s">
        <v>570</v>
      </c>
      <c r="B46" s="1" t="s">
        <v>107</v>
      </c>
      <c r="C46" s="1">
        <v>2019</v>
      </c>
      <c r="D46" s="1">
        <v>2025</v>
      </c>
      <c r="E46">
        <v>77</v>
      </c>
      <c r="F46">
        <v>77</v>
      </c>
      <c r="G46">
        <v>3</v>
      </c>
      <c r="H46">
        <v>2065</v>
      </c>
      <c r="I46" s="1" t="s">
        <v>68</v>
      </c>
      <c r="J46">
        <v>27.9</v>
      </c>
      <c r="K46">
        <v>1412</v>
      </c>
      <c r="L46">
        <v>146.24</v>
      </c>
      <c r="M46">
        <v>2</v>
      </c>
      <c r="N46">
        <v>12</v>
      </c>
      <c r="O46">
        <v>8</v>
      </c>
      <c r="P46">
        <v>178</v>
      </c>
      <c r="Q46">
        <v>120</v>
      </c>
    </row>
    <row r="47" spans="1:17" x14ac:dyDescent="0.35">
      <c r="A47" t="s">
        <v>571</v>
      </c>
      <c r="B47" s="1" t="s">
        <v>103</v>
      </c>
      <c r="C47" s="1">
        <v>2010</v>
      </c>
      <c r="D47" s="1">
        <v>2023</v>
      </c>
      <c r="E47">
        <v>73</v>
      </c>
      <c r="F47">
        <v>73</v>
      </c>
      <c r="G47">
        <v>3</v>
      </c>
      <c r="H47">
        <v>2048</v>
      </c>
      <c r="I47" s="1" t="s">
        <v>71</v>
      </c>
      <c r="J47">
        <v>29.25</v>
      </c>
      <c r="K47">
        <v>1550</v>
      </c>
      <c r="L47">
        <v>132.12</v>
      </c>
      <c r="M47">
        <v>1</v>
      </c>
      <c r="N47">
        <v>12</v>
      </c>
      <c r="O47">
        <v>4</v>
      </c>
      <c r="P47">
        <v>229</v>
      </c>
      <c r="Q47">
        <v>76</v>
      </c>
    </row>
    <row r="48" spans="1:17" x14ac:dyDescent="0.35">
      <c r="A48" t="s">
        <v>573</v>
      </c>
      <c r="B48" s="1" t="s">
        <v>240</v>
      </c>
      <c r="C48" s="1">
        <v>2019</v>
      </c>
      <c r="D48" s="1">
        <v>2025</v>
      </c>
      <c r="E48">
        <v>66</v>
      </c>
      <c r="F48">
        <v>62</v>
      </c>
      <c r="G48">
        <v>19</v>
      </c>
      <c r="H48">
        <v>1988</v>
      </c>
      <c r="I48" s="1" t="s">
        <v>75</v>
      </c>
      <c r="J48">
        <v>46.23</v>
      </c>
      <c r="K48">
        <v>1593</v>
      </c>
      <c r="L48">
        <v>124.79</v>
      </c>
      <c r="M48">
        <v>0</v>
      </c>
      <c r="N48">
        <v>13</v>
      </c>
      <c r="O48">
        <v>4</v>
      </c>
      <c r="P48">
        <v>164</v>
      </c>
      <c r="Q48">
        <v>63</v>
      </c>
    </row>
    <row r="49" spans="1:17" x14ac:dyDescent="0.35">
      <c r="A49" t="s">
        <v>574</v>
      </c>
      <c r="B49" s="1" t="s">
        <v>117</v>
      </c>
      <c r="C49" s="1">
        <v>2019</v>
      </c>
      <c r="D49" s="1">
        <v>2025</v>
      </c>
      <c r="E49">
        <v>72</v>
      </c>
      <c r="F49">
        <v>66</v>
      </c>
      <c r="G49">
        <v>16</v>
      </c>
      <c r="H49">
        <v>1980</v>
      </c>
      <c r="I49" s="1" t="s">
        <v>119</v>
      </c>
      <c r="J49">
        <v>39.6</v>
      </c>
      <c r="K49">
        <v>1484</v>
      </c>
      <c r="L49">
        <v>133.41999999999999</v>
      </c>
      <c r="M49">
        <v>0</v>
      </c>
      <c r="N49">
        <v>15</v>
      </c>
      <c r="O49">
        <v>3</v>
      </c>
      <c r="P49">
        <v>143</v>
      </c>
      <c r="Q49">
        <v>111</v>
      </c>
    </row>
    <row r="50" spans="1:17" x14ac:dyDescent="0.35">
      <c r="A50" t="s">
        <v>575</v>
      </c>
      <c r="B50" s="1" t="s">
        <v>91</v>
      </c>
      <c r="C50" s="1">
        <v>2008</v>
      </c>
      <c r="D50" s="1">
        <v>2021</v>
      </c>
      <c r="E50">
        <v>110</v>
      </c>
      <c r="F50">
        <v>103</v>
      </c>
      <c r="G50">
        <v>10</v>
      </c>
      <c r="H50">
        <v>1973</v>
      </c>
      <c r="I50" s="1" t="s">
        <v>73</v>
      </c>
      <c r="J50">
        <v>21.21</v>
      </c>
      <c r="K50">
        <v>1507</v>
      </c>
      <c r="L50">
        <v>130.91999999999999</v>
      </c>
      <c r="M50">
        <v>1</v>
      </c>
      <c r="N50">
        <v>5</v>
      </c>
      <c r="O50">
        <v>12</v>
      </c>
      <c r="P50">
        <v>165</v>
      </c>
      <c r="Q50">
        <v>82</v>
      </c>
    </row>
    <row r="51" spans="1:17" x14ac:dyDescent="0.35">
      <c r="A51" t="s">
        <v>576</v>
      </c>
      <c r="B51" s="1" t="s">
        <v>111</v>
      </c>
      <c r="C51" s="1">
        <v>2018</v>
      </c>
      <c r="D51" s="1">
        <v>2025</v>
      </c>
      <c r="E51">
        <v>90</v>
      </c>
      <c r="F51">
        <v>78</v>
      </c>
      <c r="G51">
        <v>17</v>
      </c>
      <c r="H51">
        <v>1956</v>
      </c>
      <c r="I51" s="1" t="s">
        <v>58</v>
      </c>
      <c r="J51">
        <v>32.06</v>
      </c>
      <c r="K51">
        <v>1406</v>
      </c>
      <c r="L51">
        <v>139.11000000000001</v>
      </c>
      <c r="M51">
        <v>1</v>
      </c>
      <c r="N51">
        <v>10</v>
      </c>
      <c r="O51">
        <v>1</v>
      </c>
      <c r="P51">
        <v>139</v>
      </c>
      <c r="Q51">
        <v>82</v>
      </c>
    </row>
    <row r="52" spans="1:17" x14ac:dyDescent="0.35">
      <c r="A52" t="s">
        <v>590</v>
      </c>
      <c r="B52" s="1" t="s">
        <v>92</v>
      </c>
      <c r="C52" s="1">
        <v>2006</v>
      </c>
      <c r="D52" s="1">
        <v>2025</v>
      </c>
      <c r="E52">
        <v>106</v>
      </c>
      <c r="F52">
        <v>97</v>
      </c>
      <c r="G52">
        <v>22</v>
      </c>
      <c r="H52">
        <v>1954</v>
      </c>
      <c r="I52" s="1" t="s">
        <v>81</v>
      </c>
      <c r="J52">
        <v>26.05</v>
      </c>
      <c r="K52">
        <v>1611</v>
      </c>
      <c r="L52">
        <v>121.29</v>
      </c>
      <c r="M52">
        <v>0</v>
      </c>
      <c r="N52">
        <v>7</v>
      </c>
      <c r="O52">
        <v>6</v>
      </c>
      <c r="P52">
        <v>123</v>
      </c>
      <c r="Q52">
        <v>72</v>
      </c>
    </row>
    <row r="53" spans="1:17" x14ac:dyDescent="0.35">
      <c r="A53" t="s">
        <v>592</v>
      </c>
      <c r="B53" s="1" t="s">
        <v>97</v>
      </c>
      <c r="C53" s="1">
        <v>2007</v>
      </c>
      <c r="D53" s="1">
        <v>2019</v>
      </c>
      <c r="E53">
        <v>81</v>
      </c>
      <c r="F53">
        <v>75</v>
      </c>
      <c r="G53">
        <v>25</v>
      </c>
      <c r="H53">
        <v>1934</v>
      </c>
      <c r="I53" s="1" t="s">
        <v>75</v>
      </c>
      <c r="J53">
        <v>38.68</v>
      </c>
      <c r="K53">
        <v>1532</v>
      </c>
      <c r="L53">
        <v>126.24</v>
      </c>
      <c r="M53">
        <v>0</v>
      </c>
      <c r="N53">
        <v>11</v>
      </c>
      <c r="O53">
        <v>6</v>
      </c>
      <c r="P53">
        <v>138</v>
      </c>
      <c r="Q53">
        <v>71</v>
      </c>
    </row>
    <row r="54" spans="1:17" x14ac:dyDescent="0.35">
      <c r="A54" t="s">
        <v>151</v>
      </c>
      <c r="B54" s="1" t="s">
        <v>127</v>
      </c>
      <c r="C54" s="1">
        <v>2008</v>
      </c>
      <c r="D54" s="1">
        <v>2025</v>
      </c>
      <c r="E54">
        <v>93</v>
      </c>
      <c r="F54">
        <v>81</v>
      </c>
      <c r="G54">
        <v>17</v>
      </c>
      <c r="H54">
        <v>1930</v>
      </c>
      <c r="I54" s="1" t="s">
        <v>153</v>
      </c>
      <c r="J54">
        <v>30.15</v>
      </c>
      <c r="K54">
        <v>1420</v>
      </c>
      <c r="L54">
        <v>135.91</v>
      </c>
      <c r="M54">
        <v>1</v>
      </c>
      <c r="N54">
        <v>11</v>
      </c>
      <c r="O54">
        <v>4</v>
      </c>
      <c r="P54">
        <v>153</v>
      </c>
      <c r="Q54">
        <v>103</v>
      </c>
    </row>
    <row r="55" spans="1:17" x14ac:dyDescent="0.35">
      <c r="A55" t="s">
        <v>503</v>
      </c>
      <c r="B55" s="1" t="s">
        <v>92</v>
      </c>
      <c r="C55" s="1">
        <v>2017</v>
      </c>
      <c r="D55" s="1">
        <v>2025</v>
      </c>
      <c r="E55">
        <v>83</v>
      </c>
      <c r="F55">
        <v>74</v>
      </c>
      <c r="G55">
        <v>12</v>
      </c>
      <c r="H55">
        <v>1929</v>
      </c>
      <c r="I55" s="1" t="s">
        <v>77</v>
      </c>
      <c r="J55">
        <v>31.11</v>
      </c>
      <c r="K55">
        <v>1372</v>
      </c>
      <c r="L55">
        <v>140.59</v>
      </c>
      <c r="M55">
        <v>2</v>
      </c>
      <c r="N55">
        <v>10</v>
      </c>
      <c r="O55">
        <v>3</v>
      </c>
      <c r="P55">
        <v>138</v>
      </c>
      <c r="Q55">
        <v>91</v>
      </c>
    </row>
    <row r="56" spans="1:17" x14ac:dyDescent="0.35">
      <c r="A56" t="s">
        <v>172</v>
      </c>
      <c r="B56" s="1" t="s">
        <v>105</v>
      </c>
      <c r="C56" s="1">
        <v>2015</v>
      </c>
      <c r="D56" s="1">
        <v>2025</v>
      </c>
      <c r="E56">
        <v>73</v>
      </c>
      <c r="F56">
        <v>72</v>
      </c>
      <c r="G56">
        <v>7</v>
      </c>
      <c r="H56">
        <v>1912</v>
      </c>
      <c r="I56" s="1" t="s">
        <v>31</v>
      </c>
      <c r="J56">
        <v>29.41</v>
      </c>
      <c r="K56">
        <v>1596</v>
      </c>
      <c r="L56">
        <v>119.79</v>
      </c>
      <c r="M56">
        <v>1</v>
      </c>
      <c r="N56">
        <v>9</v>
      </c>
      <c r="O56">
        <v>2</v>
      </c>
      <c r="P56">
        <v>196</v>
      </c>
      <c r="Q56">
        <v>31</v>
      </c>
    </row>
    <row r="57" spans="1:17" x14ac:dyDescent="0.35">
      <c r="A57" t="s">
        <v>504</v>
      </c>
      <c r="B57" s="1" t="s">
        <v>101</v>
      </c>
      <c r="C57" s="1">
        <v>2006</v>
      </c>
      <c r="D57" s="1">
        <v>2021</v>
      </c>
      <c r="E57">
        <v>79</v>
      </c>
      <c r="F57">
        <v>75</v>
      </c>
      <c r="G57">
        <v>7</v>
      </c>
      <c r="H57">
        <v>1899</v>
      </c>
      <c r="I57" s="1" t="s">
        <v>40</v>
      </c>
      <c r="J57">
        <v>27.92</v>
      </c>
      <c r="K57">
        <v>1381</v>
      </c>
      <c r="L57">
        <v>137.5</v>
      </c>
      <c r="M57">
        <v>2</v>
      </c>
      <c r="N57">
        <v>14</v>
      </c>
      <c r="O57">
        <v>4</v>
      </c>
      <c r="P57">
        <v>158</v>
      </c>
      <c r="Q57">
        <v>124</v>
      </c>
    </row>
    <row r="58" spans="1:17" x14ac:dyDescent="0.35">
      <c r="A58" t="s">
        <v>505</v>
      </c>
      <c r="B58" s="1" t="s">
        <v>90</v>
      </c>
      <c r="C58" s="1">
        <v>2017</v>
      </c>
      <c r="D58" s="1">
        <v>2023</v>
      </c>
      <c r="E58">
        <v>62</v>
      </c>
      <c r="F58">
        <v>60</v>
      </c>
      <c r="G58">
        <v>8</v>
      </c>
      <c r="H58">
        <v>1892</v>
      </c>
      <c r="I58" s="1" t="s">
        <v>83</v>
      </c>
      <c r="J58">
        <v>36.380000000000003</v>
      </c>
      <c r="K58">
        <v>1428</v>
      </c>
      <c r="L58">
        <v>132.49</v>
      </c>
      <c r="M58">
        <v>1</v>
      </c>
      <c r="N58">
        <v>16</v>
      </c>
      <c r="O58">
        <v>2</v>
      </c>
      <c r="P58">
        <v>194</v>
      </c>
      <c r="Q58">
        <v>62</v>
      </c>
    </row>
    <row r="59" spans="1:17" x14ac:dyDescent="0.35">
      <c r="A59" t="s">
        <v>143</v>
      </c>
      <c r="B59" s="1" t="s">
        <v>94</v>
      </c>
      <c r="C59" s="1">
        <v>2019</v>
      </c>
      <c r="D59" s="1">
        <v>2025</v>
      </c>
      <c r="E59">
        <v>99</v>
      </c>
      <c r="F59">
        <v>84</v>
      </c>
      <c r="G59">
        <v>8</v>
      </c>
      <c r="H59">
        <v>1890</v>
      </c>
      <c r="I59" s="1" t="s">
        <v>144</v>
      </c>
      <c r="J59">
        <v>24.86</v>
      </c>
      <c r="K59">
        <v>1526</v>
      </c>
      <c r="L59">
        <v>123.85</v>
      </c>
      <c r="M59">
        <v>1</v>
      </c>
      <c r="N59">
        <v>8</v>
      </c>
      <c r="O59">
        <v>6</v>
      </c>
      <c r="P59">
        <v>144</v>
      </c>
      <c r="Q59">
        <v>72</v>
      </c>
    </row>
    <row r="60" spans="1:17" x14ac:dyDescent="0.35">
      <c r="A60" t="s">
        <v>128</v>
      </c>
      <c r="B60" s="1" t="s">
        <v>105</v>
      </c>
      <c r="C60" s="1">
        <v>2014</v>
      </c>
      <c r="D60" s="1">
        <v>2025</v>
      </c>
      <c r="E60">
        <v>100</v>
      </c>
      <c r="F60">
        <v>86</v>
      </c>
      <c r="G60">
        <v>15</v>
      </c>
      <c r="H60">
        <v>1890</v>
      </c>
      <c r="I60" s="1" t="s">
        <v>29</v>
      </c>
      <c r="J60">
        <v>26.61</v>
      </c>
      <c r="K60">
        <v>1398</v>
      </c>
      <c r="L60">
        <v>135.19</v>
      </c>
      <c r="M60">
        <v>1</v>
      </c>
      <c r="N60">
        <v>10</v>
      </c>
      <c r="O60">
        <v>5</v>
      </c>
      <c r="P60">
        <v>159</v>
      </c>
      <c r="Q60">
        <v>76</v>
      </c>
    </row>
    <row r="61" spans="1:17" x14ac:dyDescent="0.35">
      <c r="A61" t="s">
        <v>506</v>
      </c>
      <c r="B61" s="1" t="s">
        <v>108</v>
      </c>
      <c r="C61" s="1">
        <v>2006</v>
      </c>
      <c r="D61" s="1">
        <v>2016</v>
      </c>
      <c r="E61">
        <v>80</v>
      </c>
      <c r="F61">
        <v>79</v>
      </c>
      <c r="G61">
        <v>12</v>
      </c>
      <c r="H61">
        <v>1889</v>
      </c>
      <c r="I61" s="1" t="s">
        <v>29</v>
      </c>
      <c r="J61">
        <v>28.19</v>
      </c>
      <c r="K61">
        <v>1567</v>
      </c>
      <c r="L61">
        <v>120.54</v>
      </c>
      <c r="M61">
        <v>1</v>
      </c>
      <c r="N61">
        <v>13</v>
      </c>
      <c r="O61">
        <v>10</v>
      </c>
      <c r="P61">
        <v>223</v>
      </c>
      <c r="Q61">
        <v>33</v>
      </c>
    </row>
    <row r="62" spans="1:17" x14ac:dyDescent="0.35">
      <c r="A62" t="s">
        <v>226</v>
      </c>
      <c r="B62" s="1" t="s">
        <v>100</v>
      </c>
      <c r="C62" s="1">
        <v>2018</v>
      </c>
      <c r="D62" s="1">
        <v>2025</v>
      </c>
      <c r="E62">
        <v>112</v>
      </c>
      <c r="F62">
        <v>104</v>
      </c>
      <c r="G62">
        <v>32</v>
      </c>
      <c r="H62">
        <v>1885</v>
      </c>
      <c r="I62" s="1" t="s">
        <v>418</v>
      </c>
      <c r="J62">
        <v>26.18</v>
      </c>
      <c r="K62">
        <v>1507</v>
      </c>
      <c r="L62">
        <v>125.08</v>
      </c>
      <c r="M62">
        <v>0</v>
      </c>
      <c r="N62">
        <v>4</v>
      </c>
      <c r="O62">
        <v>3</v>
      </c>
      <c r="P62">
        <v>133</v>
      </c>
      <c r="Q62">
        <v>79</v>
      </c>
    </row>
    <row r="63" spans="1:17" x14ac:dyDescent="0.35">
      <c r="A63" t="s">
        <v>113</v>
      </c>
      <c r="B63" s="1" t="s">
        <v>88</v>
      </c>
      <c r="C63" s="1">
        <v>2016</v>
      </c>
      <c r="D63" s="1">
        <v>2025</v>
      </c>
      <c r="E63">
        <v>120</v>
      </c>
      <c r="F63">
        <v>94</v>
      </c>
      <c r="G63">
        <v>26</v>
      </c>
      <c r="H63">
        <v>1860</v>
      </c>
      <c r="I63" s="1" t="s">
        <v>114</v>
      </c>
      <c r="J63">
        <v>27.35</v>
      </c>
      <c r="K63">
        <v>1319</v>
      </c>
      <c r="L63">
        <v>141.01</v>
      </c>
      <c r="M63">
        <v>0</v>
      </c>
      <c r="N63">
        <v>5</v>
      </c>
      <c r="O63">
        <v>3</v>
      </c>
      <c r="P63">
        <v>140</v>
      </c>
      <c r="Q63">
        <v>96</v>
      </c>
    </row>
    <row r="64" spans="1:17" x14ac:dyDescent="0.35">
      <c r="A64" t="s">
        <v>173</v>
      </c>
      <c r="B64" s="1" t="s">
        <v>92</v>
      </c>
      <c r="C64" s="1">
        <v>2018</v>
      </c>
      <c r="D64" s="1">
        <v>2025</v>
      </c>
      <c r="E64">
        <v>77</v>
      </c>
      <c r="F64">
        <v>72</v>
      </c>
      <c r="G64">
        <v>10</v>
      </c>
      <c r="H64">
        <v>1850</v>
      </c>
      <c r="I64" s="1" t="s">
        <v>174</v>
      </c>
      <c r="J64">
        <v>29.83</v>
      </c>
      <c r="K64">
        <v>1298</v>
      </c>
      <c r="L64">
        <v>142.52000000000001</v>
      </c>
      <c r="M64">
        <v>0</v>
      </c>
      <c r="N64">
        <v>12</v>
      </c>
      <c r="O64">
        <v>5</v>
      </c>
      <c r="P64">
        <v>165</v>
      </c>
      <c r="Q64">
        <v>91</v>
      </c>
    </row>
    <row r="65" spans="1:17" x14ac:dyDescent="0.35">
      <c r="A65" t="s">
        <v>163</v>
      </c>
      <c r="B65" s="1" t="s">
        <v>164</v>
      </c>
      <c r="C65" s="1">
        <v>2019</v>
      </c>
      <c r="D65" s="1">
        <v>2025</v>
      </c>
      <c r="E65">
        <v>77</v>
      </c>
      <c r="F65">
        <v>73</v>
      </c>
      <c r="G65">
        <v>16</v>
      </c>
      <c r="H65">
        <v>1833</v>
      </c>
      <c r="I65" s="1" t="s">
        <v>31</v>
      </c>
      <c r="J65">
        <v>32.15</v>
      </c>
      <c r="K65">
        <v>1478</v>
      </c>
      <c r="L65">
        <v>124.01</v>
      </c>
      <c r="M65">
        <v>1</v>
      </c>
      <c r="N65">
        <v>13</v>
      </c>
      <c r="O65">
        <v>3</v>
      </c>
      <c r="P65">
        <v>146</v>
      </c>
      <c r="Q65">
        <v>64</v>
      </c>
    </row>
    <row r="66" spans="1:17" x14ac:dyDescent="0.35">
      <c r="A66" t="s">
        <v>109</v>
      </c>
      <c r="B66" s="1" t="s">
        <v>103</v>
      </c>
      <c r="C66" s="1">
        <v>2012</v>
      </c>
      <c r="D66" s="1">
        <v>2024</v>
      </c>
      <c r="E66">
        <v>107</v>
      </c>
      <c r="F66">
        <v>95</v>
      </c>
      <c r="G66">
        <v>33</v>
      </c>
      <c r="H66">
        <v>1830</v>
      </c>
      <c r="I66" s="1" t="s">
        <v>110</v>
      </c>
      <c r="J66">
        <v>29.51</v>
      </c>
      <c r="K66">
        <v>1328</v>
      </c>
      <c r="L66">
        <v>137.80000000000001</v>
      </c>
      <c r="M66">
        <v>0</v>
      </c>
      <c r="N66">
        <v>8</v>
      </c>
      <c r="O66">
        <v>6</v>
      </c>
      <c r="P66">
        <v>126</v>
      </c>
      <c r="Q66">
        <v>97</v>
      </c>
    </row>
    <row r="67" spans="1:17" x14ac:dyDescent="0.35">
      <c r="A67" t="s">
        <v>171</v>
      </c>
      <c r="B67" s="1" t="s">
        <v>111</v>
      </c>
      <c r="C67" s="1">
        <v>2021</v>
      </c>
      <c r="D67" s="1">
        <v>2025</v>
      </c>
      <c r="E67">
        <v>70</v>
      </c>
      <c r="F67">
        <v>68</v>
      </c>
      <c r="G67">
        <v>6</v>
      </c>
      <c r="H67">
        <v>1807</v>
      </c>
      <c r="I67" s="1" t="s">
        <v>29</v>
      </c>
      <c r="J67">
        <v>29.14</v>
      </c>
      <c r="K67">
        <v>1419</v>
      </c>
      <c r="L67">
        <v>127.34</v>
      </c>
      <c r="M67">
        <v>1</v>
      </c>
      <c r="N67">
        <v>13</v>
      </c>
      <c r="O67">
        <v>5</v>
      </c>
      <c r="P67">
        <v>171</v>
      </c>
      <c r="Q67">
        <v>75</v>
      </c>
    </row>
    <row r="68" spans="1:17" x14ac:dyDescent="0.35">
      <c r="A68" t="s">
        <v>135</v>
      </c>
      <c r="B68" s="1" t="s">
        <v>100</v>
      </c>
      <c r="C68" s="1">
        <v>2006</v>
      </c>
      <c r="D68" s="1">
        <v>2025</v>
      </c>
      <c r="E68">
        <v>85</v>
      </c>
      <c r="F68">
        <v>84</v>
      </c>
      <c r="G68">
        <v>8</v>
      </c>
      <c r="H68">
        <v>1805</v>
      </c>
      <c r="I68" s="1" t="s">
        <v>359</v>
      </c>
      <c r="J68">
        <v>23.75</v>
      </c>
      <c r="K68">
        <v>1407</v>
      </c>
      <c r="L68">
        <v>128.28</v>
      </c>
      <c r="M68">
        <v>0</v>
      </c>
      <c r="N68">
        <v>12</v>
      </c>
      <c r="O68">
        <v>7</v>
      </c>
      <c r="P68">
        <v>178</v>
      </c>
      <c r="Q68">
        <v>44</v>
      </c>
    </row>
    <row r="69" spans="1:17" x14ac:dyDescent="0.35">
      <c r="A69" t="s">
        <v>115</v>
      </c>
      <c r="B69" s="1" t="s">
        <v>101</v>
      </c>
      <c r="C69" s="1">
        <v>2016</v>
      </c>
      <c r="D69" s="1">
        <v>2025</v>
      </c>
      <c r="E69">
        <v>65</v>
      </c>
      <c r="F69">
        <v>64</v>
      </c>
      <c r="G69">
        <v>4</v>
      </c>
      <c r="H69">
        <v>1782</v>
      </c>
      <c r="I69" s="1" t="s">
        <v>116</v>
      </c>
      <c r="J69">
        <v>29.7</v>
      </c>
      <c r="K69">
        <v>1155</v>
      </c>
      <c r="L69">
        <v>154.28</v>
      </c>
      <c r="M69">
        <v>2</v>
      </c>
      <c r="N69">
        <v>13</v>
      </c>
      <c r="O69">
        <v>6</v>
      </c>
      <c r="P69">
        <v>135</v>
      </c>
      <c r="Q69">
        <v>136</v>
      </c>
    </row>
    <row r="70" spans="1:17" x14ac:dyDescent="0.35">
      <c r="A70" t="s">
        <v>134</v>
      </c>
      <c r="B70" s="1" t="s">
        <v>107</v>
      </c>
      <c r="C70" s="1">
        <v>2019</v>
      </c>
      <c r="D70" s="1">
        <v>2025</v>
      </c>
      <c r="E70">
        <v>73</v>
      </c>
      <c r="F70">
        <v>71</v>
      </c>
      <c r="G70">
        <v>7</v>
      </c>
      <c r="H70">
        <v>1764</v>
      </c>
      <c r="I70" s="1" t="s">
        <v>60</v>
      </c>
      <c r="J70">
        <v>27.56</v>
      </c>
      <c r="K70">
        <v>1357</v>
      </c>
      <c r="L70">
        <v>129.99</v>
      </c>
      <c r="M70">
        <v>0</v>
      </c>
      <c r="N70">
        <v>12</v>
      </c>
      <c r="O70">
        <v>4</v>
      </c>
      <c r="P70">
        <v>149</v>
      </c>
      <c r="Q70">
        <v>60</v>
      </c>
    </row>
    <row r="71" spans="1:17" x14ac:dyDescent="0.35">
      <c r="A71" t="s">
        <v>120</v>
      </c>
      <c r="B71" s="1" t="s">
        <v>88</v>
      </c>
      <c r="C71" s="1">
        <v>2011</v>
      </c>
      <c r="D71" s="1">
        <v>2021</v>
      </c>
      <c r="E71">
        <v>68</v>
      </c>
      <c r="F71">
        <v>66</v>
      </c>
      <c r="G71">
        <v>3</v>
      </c>
      <c r="H71">
        <v>1759</v>
      </c>
      <c r="I71" s="1" t="s">
        <v>122</v>
      </c>
      <c r="J71">
        <v>27.92</v>
      </c>
      <c r="K71">
        <v>1392</v>
      </c>
      <c r="L71">
        <v>126.36</v>
      </c>
      <c r="M71">
        <v>0</v>
      </c>
      <c r="N71">
        <v>11</v>
      </c>
      <c r="O71">
        <v>2</v>
      </c>
      <c r="P71">
        <v>191</v>
      </c>
      <c r="Q71">
        <v>50</v>
      </c>
    </row>
    <row r="72" spans="1:17" x14ac:dyDescent="0.35">
      <c r="A72" t="s">
        <v>123</v>
      </c>
      <c r="B72" s="1" t="s">
        <v>98</v>
      </c>
      <c r="C72" s="1">
        <v>2007</v>
      </c>
      <c r="D72" s="1">
        <v>2020</v>
      </c>
      <c r="E72">
        <v>78</v>
      </c>
      <c r="F72">
        <v>78</v>
      </c>
      <c r="G72">
        <v>5</v>
      </c>
      <c r="H72">
        <v>1758</v>
      </c>
      <c r="I72" s="1" t="s">
        <v>83</v>
      </c>
      <c r="J72">
        <v>24.08</v>
      </c>
      <c r="K72">
        <v>1503</v>
      </c>
      <c r="L72">
        <v>116.96</v>
      </c>
      <c r="M72">
        <v>1</v>
      </c>
      <c r="N72">
        <v>7</v>
      </c>
      <c r="O72">
        <v>6</v>
      </c>
      <c r="P72">
        <v>188</v>
      </c>
      <c r="Q72">
        <v>45</v>
      </c>
    </row>
    <row r="73" spans="1:17" x14ac:dyDescent="0.35">
      <c r="A73" t="s">
        <v>161</v>
      </c>
      <c r="B73" s="1" t="s">
        <v>162</v>
      </c>
      <c r="C73" s="1">
        <v>2019</v>
      </c>
      <c r="D73" s="1">
        <v>2025</v>
      </c>
      <c r="E73">
        <v>61</v>
      </c>
      <c r="F73">
        <v>61</v>
      </c>
      <c r="G73">
        <v>5</v>
      </c>
      <c r="H73">
        <v>1743</v>
      </c>
      <c r="I73" s="1" t="s">
        <v>69</v>
      </c>
      <c r="J73">
        <v>31.12</v>
      </c>
      <c r="K73">
        <v>1005</v>
      </c>
      <c r="L73">
        <v>173.43</v>
      </c>
      <c r="M73">
        <v>1</v>
      </c>
      <c r="N73">
        <v>10</v>
      </c>
      <c r="O73">
        <v>7</v>
      </c>
      <c r="P73">
        <v>180</v>
      </c>
      <c r="Q73">
        <v>106</v>
      </c>
    </row>
    <row r="74" spans="1:17" x14ac:dyDescent="0.35">
      <c r="A74" t="s">
        <v>126</v>
      </c>
      <c r="B74" s="1" t="s">
        <v>127</v>
      </c>
      <c r="C74" s="1">
        <v>2007</v>
      </c>
      <c r="D74" s="1">
        <v>2024</v>
      </c>
      <c r="E74">
        <v>75</v>
      </c>
      <c r="F74">
        <v>70</v>
      </c>
      <c r="G74">
        <v>12</v>
      </c>
      <c r="H74">
        <v>1742</v>
      </c>
      <c r="I74" s="1" t="s">
        <v>75</v>
      </c>
      <c r="J74">
        <v>30.03</v>
      </c>
      <c r="K74">
        <v>1460</v>
      </c>
      <c r="L74">
        <v>119.31</v>
      </c>
      <c r="M74">
        <v>0</v>
      </c>
      <c r="N74">
        <v>9</v>
      </c>
      <c r="O74">
        <v>6</v>
      </c>
      <c r="P74">
        <v>127</v>
      </c>
      <c r="Q74">
        <v>84</v>
      </c>
    </row>
    <row r="75" spans="1:17" x14ac:dyDescent="0.35">
      <c r="A75" t="s">
        <v>131</v>
      </c>
      <c r="B75" s="1" t="s">
        <v>92</v>
      </c>
      <c r="C75" s="1">
        <v>2012</v>
      </c>
      <c r="D75" s="1">
        <v>2020</v>
      </c>
      <c r="E75">
        <v>65</v>
      </c>
      <c r="F75">
        <v>62</v>
      </c>
      <c r="G75">
        <v>7</v>
      </c>
      <c r="H75">
        <v>1724</v>
      </c>
      <c r="I75" s="1" t="s">
        <v>133</v>
      </c>
      <c r="J75">
        <v>31.34</v>
      </c>
      <c r="K75">
        <v>1102</v>
      </c>
      <c r="L75">
        <v>156.44</v>
      </c>
      <c r="M75">
        <v>3</v>
      </c>
      <c r="N75">
        <v>11</v>
      </c>
      <c r="O75">
        <v>5</v>
      </c>
      <c r="P75">
        <v>132</v>
      </c>
      <c r="Q75">
        <v>107</v>
      </c>
    </row>
    <row r="76" spans="1:17" x14ac:dyDescent="0.35">
      <c r="A76" t="s">
        <v>493</v>
      </c>
      <c r="B76" s="1" t="s">
        <v>274</v>
      </c>
      <c r="C76" s="1">
        <v>2024</v>
      </c>
      <c r="D76" s="1">
        <v>2025</v>
      </c>
      <c r="E76">
        <v>41</v>
      </c>
      <c r="F76">
        <v>40</v>
      </c>
      <c r="G76">
        <v>4</v>
      </c>
      <c r="H76">
        <v>1721</v>
      </c>
      <c r="I76" s="1" t="s">
        <v>402</v>
      </c>
      <c r="J76">
        <v>47.8</v>
      </c>
      <c r="K76">
        <v>1017</v>
      </c>
      <c r="L76">
        <v>169.22</v>
      </c>
      <c r="M76">
        <v>2</v>
      </c>
      <c r="N76">
        <v>16</v>
      </c>
      <c r="O76">
        <v>3</v>
      </c>
      <c r="P76">
        <v>147</v>
      </c>
      <c r="Q76">
        <v>136</v>
      </c>
    </row>
    <row r="77" spans="1:17" x14ac:dyDescent="0.35">
      <c r="A77" t="s">
        <v>191</v>
      </c>
      <c r="B77" s="1" t="s">
        <v>101</v>
      </c>
      <c r="C77" s="1">
        <v>2019</v>
      </c>
      <c r="D77" s="1">
        <v>2025</v>
      </c>
      <c r="E77">
        <v>73</v>
      </c>
      <c r="F77">
        <v>71</v>
      </c>
      <c r="G77">
        <v>5</v>
      </c>
      <c r="H77">
        <v>1704</v>
      </c>
      <c r="I77" s="1" t="s">
        <v>192</v>
      </c>
      <c r="J77">
        <v>25.81</v>
      </c>
      <c r="K77">
        <v>1275</v>
      </c>
      <c r="L77">
        <v>133.63999999999999</v>
      </c>
      <c r="M77">
        <v>0</v>
      </c>
      <c r="N77">
        <v>13</v>
      </c>
      <c r="O77">
        <v>6</v>
      </c>
      <c r="P77">
        <v>183</v>
      </c>
      <c r="Q77">
        <v>75</v>
      </c>
    </row>
    <row r="78" spans="1:17" x14ac:dyDescent="0.35">
      <c r="A78" t="s">
        <v>136</v>
      </c>
      <c r="B78" s="1" t="s">
        <v>89</v>
      </c>
      <c r="C78" s="1">
        <v>2009</v>
      </c>
      <c r="D78" s="1">
        <v>2019</v>
      </c>
      <c r="E78">
        <v>84</v>
      </c>
      <c r="F78">
        <v>79</v>
      </c>
      <c r="G78">
        <v>14</v>
      </c>
      <c r="H78">
        <v>1690</v>
      </c>
      <c r="I78" s="1" t="s">
        <v>138</v>
      </c>
      <c r="J78">
        <v>26</v>
      </c>
      <c r="K78">
        <v>1377</v>
      </c>
      <c r="L78">
        <v>122.73</v>
      </c>
      <c r="M78">
        <v>0</v>
      </c>
      <c r="N78">
        <v>8</v>
      </c>
      <c r="O78">
        <v>10</v>
      </c>
      <c r="P78">
        <v>122</v>
      </c>
      <c r="Q78">
        <v>55</v>
      </c>
    </row>
    <row r="79" spans="1:17" x14ac:dyDescent="0.35">
      <c r="A79" t="s">
        <v>205</v>
      </c>
      <c r="B79" s="1" t="s">
        <v>108</v>
      </c>
      <c r="C79" s="1">
        <v>2015</v>
      </c>
      <c r="D79" s="1">
        <v>2025</v>
      </c>
      <c r="E79">
        <v>119</v>
      </c>
      <c r="F79">
        <v>107</v>
      </c>
      <c r="G79">
        <v>24</v>
      </c>
      <c r="H79">
        <v>1676</v>
      </c>
      <c r="I79" s="1" t="s">
        <v>206</v>
      </c>
      <c r="J79">
        <v>20.190000000000001</v>
      </c>
      <c r="K79">
        <v>1355</v>
      </c>
      <c r="L79">
        <v>123.69</v>
      </c>
      <c r="M79">
        <v>0</v>
      </c>
      <c r="N79">
        <v>6</v>
      </c>
      <c r="O79">
        <v>15</v>
      </c>
      <c r="P79">
        <v>123</v>
      </c>
      <c r="Q79">
        <v>84</v>
      </c>
    </row>
    <row r="80" spans="1:17" x14ac:dyDescent="0.35">
      <c r="A80" t="s">
        <v>222</v>
      </c>
      <c r="B80" s="1" t="s">
        <v>92</v>
      </c>
      <c r="C80" s="1">
        <v>2020</v>
      </c>
      <c r="D80" s="1">
        <v>2025</v>
      </c>
      <c r="E80">
        <v>62</v>
      </c>
      <c r="F80">
        <v>56</v>
      </c>
      <c r="G80">
        <v>11</v>
      </c>
      <c r="H80">
        <v>1675</v>
      </c>
      <c r="I80" s="1" t="s">
        <v>48</v>
      </c>
      <c r="J80">
        <v>37.22</v>
      </c>
      <c r="K80">
        <v>1314</v>
      </c>
      <c r="L80">
        <v>127.47</v>
      </c>
      <c r="M80">
        <v>0</v>
      </c>
      <c r="N80">
        <v>12</v>
      </c>
      <c r="O80">
        <v>2</v>
      </c>
      <c r="P80">
        <v>162</v>
      </c>
      <c r="Q80">
        <v>44</v>
      </c>
    </row>
    <row r="81" spans="1:17" x14ac:dyDescent="0.35">
      <c r="A81" t="s">
        <v>198</v>
      </c>
      <c r="B81" s="1" t="s">
        <v>92</v>
      </c>
      <c r="C81" s="1">
        <v>2019</v>
      </c>
      <c r="D81" s="1">
        <v>2025</v>
      </c>
      <c r="E81">
        <v>90</v>
      </c>
      <c r="F81">
        <v>80</v>
      </c>
      <c r="G81">
        <v>18</v>
      </c>
      <c r="H81">
        <v>1674</v>
      </c>
      <c r="I81" s="1" t="s">
        <v>190</v>
      </c>
      <c r="J81">
        <v>27</v>
      </c>
      <c r="K81">
        <v>1206</v>
      </c>
      <c r="L81">
        <v>138.80000000000001</v>
      </c>
      <c r="M81">
        <v>0</v>
      </c>
      <c r="N81">
        <v>8</v>
      </c>
      <c r="O81">
        <v>2</v>
      </c>
      <c r="P81">
        <v>114</v>
      </c>
      <c r="Q81">
        <v>63</v>
      </c>
    </row>
    <row r="82" spans="1:17" x14ac:dyDescent="0.35">
      <c r="A82" t="s">
        <v>139</v>
      </c>
      <c r="B82" s="1" t="s">
        <v>97</v>
      </c>
      <c r="C82" s="1">
        <v>2006</v>
      </c>
      <c r="D82" s="1">
        <v>2017</v>
      </c>
      <c r="E82">
        <v>78</v>
      </c>
      <c r="F82">
        <v>75</v>
      </c>
      <c r="G82">
        <v>11</v>
      </c>
      <c r="H82">
        <v>1672</v>
      </c>
      <c r="I82" s="1" t="s">
        <v>141</v>
      </c>
      <c r="J82">
        <v>26.12</v>
      </c>
      <c r="K82">
        <v>1237</v>
      </c>
      <c r="L82">
        <v>135.16</v>
      </c>
      <c r="M82">
        <v>0</v>
      </c>
      <c r="N82">
        <v>10</v>
      </c>
      <c r="O82">
        <v>5</v>
      </c>
      <c r="P82">
        <v>140</v>
      </c>
      <c r="Q82">
        <v>60</v>
      </c>
    </row>
    <row r="83" spans="1:17" x14ac:dyDescent="0.35">
      <c r="A83" t="s">
        <v>142</v>
      </c>
      <c r="B83" s="1" t="s">
        <v>90</v>
      </c>
      <c r="C83" s="1">
        <v>2011</v>
      </c>
      <c r="D83" s="1">
        <v>2024</v>
      </c>
      <c r="E83">
        <v>80</v>
      </c>
      <c r="F83">
        <v>72</v>
      </c>
      <c r="G83">
        <v>16</v>
      </c>
      <c r="H83">
        <v>1671</v>
      </c>
      <c r="I83" s="1" t="s">
        <v>130</v>
      </c>
      <c r="J83">
        <v>29.83</v>
      </c>
      <c r="K83">
        <v>1215</v>
      </c>
      <c r="L83">
        <v>137.53</v>
      </c>
      <c r="M83">
        <v>0</v>
      </c>
      <c r="N83">
        <v>10</v>
      </c>
      <c r="O83">
        <v>6</v>
      </c>
      <c r="P83">
        <v>148</v>
      </c>
      <c r="Q83">
        <v>76</v>
      </c>
    </row>
    <row r="84" spans="1:17" x14ac:dyDescent="0.35">
      <c r="A84" t="s">
        <v>175</v>
      </c>
      <c r="B84" s="1" t="s">
        <v>176</v>
      </c>
      <c r="C84" s="1">
        <v>2022</v>
      </c>
      <c r="D84" s="1">
        <v>2025</v>
      </c>
      <c r="E84">
        <v>45</v>
      </c>
      <c r="F84">
        <v>45</v>
      </c>
      <c r="G84">
        <v>4</v>
      </c>
      <c r="H84">
        <v>1669</v>
      </c>
      <c r="I84" s="1" t="s">
        <v>178</v>
      </c>
      <c r="J84">
        <v>40.700000000000003</v>
      </c>
      <c r="K84">
        <v>1150</v>
      </c>
      <c r="L84">
        <v>145.13</v>
      </c>
      <c r="M84">
        <v>2</v>
      </c>
      <c r="N84">
        <v>11</v>
      </c>
      <c r="O84">
        <v>1</v>
      </c>
      <c r="P84">
        <v>129</v>
      </c>
      <c r="Q84">
        <v>84</v>
      </c>
    </row>
    <row r="85" spans="1:17" x14ac:dyDescent="0.35">
      <c r="A85" t="s">
        <v>145</v>
      </c>
      <c r="B85" s="1" t="s">
        <v>100</v>
      </c>
      <c r="C85" s="1">
        <v>2006</v>
      </c>
      <c r="D85" s="1">
        <v>2019</v>
      </c>
      <c r="E85">
        <v>66</v>
      </c>
      <c r="F85">
        <v>66</v>
      </c>
      <c r="G85">
        <v>2</v>
      </c>
      <c r="H85">
        <v>1662</v>
      </c>
      <c r="I85" s="1" t="s">
        <v>147</v>
      </c>
      <c r="J85">
        <v>25.96</v>
      </c>
      <c r="K85">
        <v>1418</v>
      </c>
      <c r="L85">
        <v>117.2</v>
      </c>
      <c r="M85">
        <v>0</v>
      </c>
      <c r="N85">
        <v>11</v>
      </c>
      <c r="O85">
        <v>1</v>
      </c>
      <c r="P85">
        <v>151</v>
      </c>
      <c r="Q85">
        <v>65</v>
      </c>
    </row>
    <row r="86" spans="1:17" x14ac:dyDescent="0.35">
      <c r="A86" t="s">
        <v>333</v>
      </c>
      <c r="B86" s="1" t="s">
        <v>95</v>
      </c>
      <c r="C86" s="1">
        <v>2020</v>
      </c>
      <c r="D86" s="1">
        <v>2025</v>
      </c>
      <c r="E86">
        <v>63</v>
      </c>
      <c r="F86">
        <v>59</v>
      </c>
      <c r="G86">
        <v>9</v>
      </c>
      <c r="H86">
        <v>1650</v>
      </c>
      <c r="I86" s="1" t="s">
        <v>334</v>
      </c>
      <c r="J86">
        <v>33</v>
      </c>
      <c r="K86">
        <v>1227</v>
      </c>
      <c r="L86">
        <v>134.47</v>
      </c>
      <c r="M86">
        <v>0</v>
      </c>
      <c r="N86">
        <v>13</v>
      </c>
      <c r="O86">
        <v>1</v>
      </c>
      <c r="P86">
        <v>157</v>
      </c>
      <c r="Q86">
        <v>72</v>
      </c>
    </row>
    <row r="87" spans="1:17" x14ac:dyDescent="0.35">
      <c r="A87" t="s">
        <v>168</v>
      </c>
      <c r="B87" s="1" t="s">
        <v>162</v>
      </c>
      <c r="C87" s="1">
        <v>2020</v>
      </c>
      <c r="D87" s="1">
        <v>2025</v>
      </c>
      <c r="E87">
        <v>60</v>
      </c>
      <c r="F87">
        <v>57</v>
      </c>
      <c r="G87">
        <v>7</v>
      </c>
      <c r="H87">
        <v>1644</v>
      </c>
      <c r="I87" s="1" t="s">
        <v>170</v>
      </c>
      <c r="J87">
        <v>32.880000000000003</v>
      </c>
      <c r="K87">
        <v>1268</v>
      </c>
      <c r="L87">
        <v>129.65</v>
      </c>
      <c r="M87">
        <v>1</v>
      </c>
      <c r="N87">
        <v>8</v>
      </c>
      <c r="O87">
        <v>1</v>
      </c>
      <c r="P87">
        <v>163</v>
      </c>
      <c r="Q87">
        <v>52</v>
      </c>
    </row>
    <row r="88" spans="1:17" x14ac:dyDescent="0.35">
      <c r="A88" t="s">
        <v>234</v>
      </c>
      <c r="B88" s="1" t="s">
        <v>111</v>
      </c>
      <c r="C88" s="1">
        <v>2021</v>
      </c>
      <c r="D88" s="1">
        <v>2025</v>
      </c>
      <c r="E88">
        <v>68</v>
      </c>
      <c r="F88">
        <v>67</v>
      </c>
      <c r="G88">
        <v>3</v>
      </c>
      <c r="H88">
        <v>1639</v>
      </c>
      <c r="I88" s="1" t="s">
        <v>311</v>
      </c>
      <c r="J88">
        <v>25.6</v>
      </c>
      <c r="K88">
        <v>1360</v>
      </c>
      <c r="L88">
        <v>120.51</v>
      </c>
      <c r="M88">
        <v>0</v>
      </c>
      <c r="N88">
        <v>10</v>
      </c>
      <c r="O88">
        <v>3</v>
      </c>
      <c r="P88">
        <v>152</v>
      </c>
      <c r="Q88">
        <v>64</v>
      </c>
    </row>
    <row r="89" spans="1:17" x14ac:dyDescent="0.35">
      <c r="A89" t="s">
        <v>209</v>
      </c>
      <c r="B89" s="1" t="s">
        <v>111</v>
      </c>
      <c r="C89" s="1">
        <v>2019</v>
      </c>
      <c r="D89" s="1">
        <v>2025</v>
      </c>
      <c r="E89">
        <v>76</v>
      </c>
      <c r="F89">
        <v>72</v>
      </c>
      <c r="G89">
        <v>13</v>
      </c>
      <c r="H89">
        <v>1637</v>
      </c>
      <c r="I89" s="1" t="s">
        <v>210</v>
      </c>
      <c r="J89">
        <v>27.74</v>
      </c>
      <c r="K89">
        <v>1372</v>
      </c>
      <c r="L89">
        <v>119.31</v>
      </c>
      <c r="M89">
        <v>0</v>
      </c>
      <c r="N89">
        <v>8</v>
      </c>
      <c r="O89">
        <v>1</v>
      </c>
      <c r="P89">
        <v>130</v>
      </c>
      <c r="Q89">
        <v>48</v>
      </c>
    </row>
    <row r="90" spans="1:17" x14ac:dyDescent="0.35">
      <c r="A90" t="s">
        <v>148</v>
      </c>
      <c r="B90" s="1" t="s">
        <v>149</v>
      </c>
      <c r="C90" s="1">
        <v>2015</v>
      </c>
      <c r="D90" s="1">
        <v>2024</v>
      </c>
      <c r="E90">
        <v>60</v>
      </c>
      <c r="F90">
        <v>59</v>
      </c>
      <c r="G90">
        <v>8</v>
      </c>
      <c r="H90">
        <v>1634</v>
      </c>
      <c r="I90" s="1" t="s">
        <v>150</v>
      </c>
      <c r="J90">
        <v>32.03</v>
      </c>
      <c r="K90">
        <v>1068</v>
      </c>
      <c r="L90">
        <v>152.99</v>
      </c>
      <c r="M90">
        <v>1</v>
      </c>
      <c r="N90">
        <v>14</v>
      </c>
      <c r="O90">
        <v>4</v>
      </c>
      <c r="P90">
        <v>123</v>
      </c>
      <c r="Q90">
        <v>95</v>
      </c>
    </row>
    <row r="91" spans="1:17" x14ac:dyDescent="0.35">
      <c r="A91" t="s">
        <v>154</v>
      </c>
      <c r="B91" s="1" t="s">
        <v>88</v>
      </c>
      <c r="C91" s="1">
        <v>2006</v>
      </c>
      <c r="D91" s="1">
        <v>2019</v>
      </c>
      <c r="E91">
        <v>98</v>
      </c>
      <c r="F91">
        <v>85</v>
      </c>
      <c r="G91">
        <v>42</v>
      </c>
      <c r="H91">
        <v>1617</v>
      </c>
      <c r="I91" s="1" t="s">
        <v>155</v>
      </c>
      <c r="J91">
        <v>37.6</v>
      </c>
      <c r="K91">
        <v>1282</v>
      </c>
      <c r="L91">
        <v>126.13</v>
      </c>
      <c r="M91">
        <v>0</v>
      </c>
      <c r="N91">
        <v>2</v>
      </c>
      <c r="O91">
        <v>1</v>
      </c>
      <c r="P91">
        <v>116</v>
      </c>
      <c r="Q91">
        <v>52</v>
      </c>
    </row>
    <row r="92" spans="1:17" x14ac:dyDescent="0.35">
      <c r="A92" t="s">
        <v>213</v>
      </c>
      <c r="B92" s="1" t="s">
        <v>91</v>
      </c>
      <c r="C92" s="1">
        <v>2019</v>
      </c>
      <c r="D92" s="1">
        <v>2025</v>
      </c>
      <c r="E92">
        <v>89</v>
      </c>
      <c r="F92">
        <v>81</v>
      </c>
      <c r="G92">
        <v>15</v>
      </c>
      <c r="H92">
        <v>1612</v>
      </c>
      <c r="I92" s="1" t="s">
        <v>347</v>
      </c>
      <c r="J92">
        <v>24.42</v>
      </c>
      <c r="K92">
        <v>1324</v>
      </c>
      <c r="L92">
        <v>121.75</v>
      </c>
      <c r="M92">
        <v>0</v>
      </c>
      <c r="N92">
        <v>7</v>
      </c>
      <c r="O92">
        <v>5</v>
      </c>
      <c r="P92">
        <v>127</v>
      </c>
      <c r="Q92">
        <v>43</v>
      </c>
    </row>
    <row r="93" spans="1:17" x14ac:dyDescent="0.35">
      <c r="A93" t="s">
        <v>156</v>
      </c>
      <c r="B93" s="1" t="s">
        <v>101</v>
      </c>
      <c r="C93" s="1">
        <v>2007</v>
      </c>
      <c r="D93" s="1">
        <v>2018</v>
      </c>
      <c r="E93">
        <v>67</v>
      </c>
      <c r="F93">
        <v>65</v>
      </c>
      <c r="G93">
        <v>10</v>
      </c>
      <c r="H93">
        <v>1611</v>
      </c>
      <c r="I93" s="1" t="s">
        <v>158</v>
      </c>
      <c r="J93">
        <v>29.29</v>
      </c>
      <c r="K93">
        <v>1386</v>
      </c>
      <c r="L93">
        <v>116.23</v>
      </c>
      <c r="M93">
        <v>0</v>
      </c>
      <c r="N93">
        <v>10</v>
      </c>
      <c r="O93">
        <v>0</v>
      </c>
      <c r="P93">
        <v>144</v>
      </c>
      <c r="Q93">
        <v>69</v>
      </c>
    </row>
    <row r="94" spans="1:17" x14ac:dyDescent="0.35">
      <c r="A94" t="s">
        <v>196</v>
      </c>
      <c r="B94" s="1" t="s">
        <v>104</v>
      </c>
      <c r="C94" s="1">
        <v>2019</v>
      </c>
      <c r="D94" s="1">
        <v>2025</v>
      </c>
      <c r="E94">
        <v>77</v>
      </c>
      <c r="F94">
        <v>67</v>
      </c>
      <c r="G94">
        <v>19</v>
      </c>
      <c r="H94">
        <v>1606</v>
      </c>
      <c r="I94" s="1" t="s">
        <v>197</v>
      </c>
      <c r="J94">
        <v>33.450000000000003</v>
      </c>
      <c r="K94">
        <v>1298</v>
      </c>
      <c r="L94">
        <v>123.72</v>
      </c>
      <c r="M94">
        <v>0</v>
      </c>
      <c r="N94">
        <v>5</v>
      </c>
      <c r="O94">
        <v>4</v>
      </c>
      <c r="P94">
        <v>119</v>
      </c>
      <c r="Q94">
        <v>69</v>
      </c>
    </row>
    <row r="95" spans="1:17" x14ac:dyDescent="0.35">
      <c r="A95" t="s">
        <v>227</v>
      </c>
      <c r="B95" s="1" t="s">
        <v>228</v>
      </c>
      <c r="C95" s="1">
        <v>2015</v>
      </c>
      <c r="D95" s="1">
        <v>2025</v>
      </c>
      <c r="E95">
        <v>72</v>
      </c>
      <c r="F95">
        <v>72</v>
      </c>
      <c r="G95">
        <v>7</v>
      </c>
      <c r="H95">
        <v>1605</v>
      </c>
      <c r="I95" s="1" t="s">
        <v>229</v>
      </c>
      <c r="J95">
        <v>24.69</v>
      </c>
      <c r="K95">
        <v>1331</v>
      </c>
      <c r="L95">
        <v>120.58</v>
      </c>
      <c r="M95">
        <v>0</v>
      </c>
      <c r="N95">
        <v>9</v>
      </c>
      <c r="O95">
        <v>4</v>
      </c>
      <c r="P95">
        <v>174</v>
      </c>
      <c r="Q95">
        <v>35</v>
      </c>
    </row>
    <row r="96" spans="1:17" x14ac:dyDescent="0.35">
      <c r="A96" t="s">
        <v>159</v>
      </c>
      <c r="B96" s="1" t="s">
        <v>88</v>
      </c>
      <c r="C96" s="1">
        <v>2006</v>
      </c>
      <c r="D96" s="1">
        <v>2018</v>
      </c>
      <c r="E96">
        <v>78</v>
      </c>
      <c r="F96">
        <v>66</v>
      </c>
      <c r="G96">
        <v>11</v>
      </c>
      <c r="H96">
        <v>1605</v>
      </c>
      <c r="I96" s="1" t="s">
        <v>69</v>
      </c>
      <c r="J96">
        <v>29.18</v>
      </c>
      <c r="K96">
        <v>1190</v>
      </c>
      <c r="L96">
        <v>134.87</v>
      </c>
      <c r="M96">
        <v>1</v>
      </c>
      <c r="N96">
        <v>5</v>
      </c>
      <c r="O96">
        <v>3</v>
      </c>
      <c r="P96">
        <v>145</v>
      </c>
      <c r="Q96">
        <v>58</v>
      </c>
    </row>
    <row r="97" spans="1:17" x14ac:dyDescent="0.35">
      <c r="A97" t="s">
        <v>581</v>
      </c>
      <c r="B97" s="1" t="s">
        <v>100</v>
      </c>
      <c r="C97" s="1">
        <v>2023</v>
      </c>
      <c r="D97" s="1">
        <v>2025</v>
      </c>
      <c r="E97">
        <v>52</v>
      </c>
      <c r="F97">
        <v>52</v>
      </c>
      <c r="G97">
        <v>2</v>
      </c>
      <c r="H97">
        <v>1596</v>
      </c>
      <c r="I97" s="1" t="s">
        <v>437</v>
      </c>
      <c r="J97">
        <v>31.92</v>
      </c>
      <c r="K97">
        <v>1097</v>
      </c>
      <c r="L97">
        <v>145.47999999999999</v>
      </c>
      <c r="M97">
        <v>1</v>
      </c>
      <c r="N97">
        <v>9</v>
      </c>
      <c r="O97">
        <v>3</v>
      </c>
      <c r="P97">
        <v>183</v>
      </c>
      <c r="Q97">
        <v>51</v>
      </c>
    </row>
    <row r="98" spans="1:17" x14ac:dyDescent="0.35">
      <c r="A98" t="s">
        <v>283</v>
      </c>
      <c r="B98" s="1" t="s">
        <v>93</v>
      </c>
      <c r="C98" s="1">
        <v>2019</v>
      </c>
      <c r="D98" s="1">
        <v>2025</v>
      </c>
      <c r="E98">
        <v>68</v>
      </c>
      <c r="F98">
        <v>58</v>
      </c>
      <c r="G98">
        <v>14</v>
      </c>
      <c r="H98">
        <v>1596</v>
      </c>
      <c r="I98" s="1" t="s">
        <v>236</v>
      </c>
      <c r="J98">
        <v>36.270000000000003</v>
      </c>
      <c r="K98">
        <v>945</v>
      </c>
      <c r="L98">
        <v>168.88</v>
      </c>
      <c r="M98">
        <v>1</v>
      </c>
      <c r="N98">
        <v>9</v>
      </c>
      <c r="O98">
        <v>4</v>
      </c>
      <c r="P98">
        <v>126</v>
      </c>
      <c r="Q98">
        <v>101</v>
      </c>
    </row>
    <row r="99" spans="1:17" x14ac:dyDescent="0.35">
      <c r="A99" t="s">
        <v>165</v>
      </c>
      <c r="B99" s="1" t="s">
        <v>101</v>
      </c>
      <c r="C99" s="1">
        <v>2008</v>
      </c>
      <c r="D99" s="1">
        <v>2022</v>
      </c>
      <c r="E99">
        <v>101</v>
      </c>
      <c r="F99">
        <v>83</v>
      </c>
      <c r="G99">
        <v>21</v>
      </c>
      <c r="H99">
        <v>1569</v>
      </c>
      <c r="I99" s="1" t="s">
        <v>167</v>
      </c>
      <c r="J99">
        <v>25.3</v>
      </c>
      <c r="K99">
        <v>1161</v>
      </c>
      <c r="L99">
        <v>135.13999999999999</v>
      </c>
      <c r="M99">
        <v>0</v>
      </c>
      <c r="N99">
        <v>6</v>
      </c>
      <c r="O99">
        <v>3</v>
      </c>
      <c r="P99">
        <v>94</v>
      </c>
      <c r="Q99">
        <v>99</v>
      </c>
    </row>
    <row r="100" spans="1:17" x14ac:dyDescent="0.35">
      <c r="A100" t="s">
        <v>318</v>
      </c>
      <c r="B100" s="1" t="s">
        <v>103</v>
      </c>
      <c r="C100" s="1">
        <v>2019</v>
      </c>
      <c r="D100" s="1">
        <v>2025</v>
      </c>
      <c r="E100">
        <v>58</v>
      </c>
      <c r="F100">
        <v>58</v>
      </c>
      <c r="G100">
        <v>7</v>
      </c>
      <c r="H100">
        <v>1558</v>
      </c>
      <c r="I100" s="1" t="s">
        <v>190</v>
      </c>
      <c r="J100">
        <v>30.54</v>
      </c>
      <c r="K100">
        <v>1405</v>
      </c>
      <c r="L100">
        <v>110.88</v>
      </c>
      <c r="M100">
        <v>0</v>
      </c>
      <c r="N100">
        <v>13</v>
      </c>
      <c r="O100">
        <v>1</v>
      </c>
      <c r="P100">
        <v>141</v>
      </c>
      <c r="Q100">
        <v>35</v>
      </c>
    </row>
    <row r="101" spans="1:17" x14ac:dyDescent="0.35">
      <c r="A101" t="s">
        <v>294</v>
      </c>
      <c r="B101" s="1" t="s">
        <v>90</v>
      </c>
      <c r="C101" s="1">
        <v>2022</v>
      </c>
      <c r="D101" s="1">
        <v>2025</v>
      </c>
      <c r="E101">
        <v>50</v>
      </c>
      <c r="F101">
        <v>46</v>
      </c>
      <c r="G101">
        <v>6</v>
      </c>
      <c r="H101">
        <v>1540</v>
      </c>
      <c r="I101" s="1" t="s">
        <v>508</v>
      </c>
      <c r="J101">
        <v>38.5</v>
      </c>
      <c r="K101">
        <v>916</v>
      </c>
      <c r="L101">
        <v>168.12</v>
      </c>
      <c r="M101">
        <v>4</v>
      </c>
      <c r="N101">
        <v>7</v>
      </c>
      <c r="O101">
        <v>5</v>
      </c>
      <c r="P101">
        <v>154</v>
      </c>
      <c r="Q101">
        <v>75</v>
      </c>
    </row>
    <row r="102" spans="1:17" x14ac:dyDescent="0.35">
      <c r="A102" t="s">
        <v>298</v>
      </c>
      <c r="B102" s="1" t="s">
        <v>225</v>
      </c>
      <c r="C102" s="1">
        <v>2022</v>
      </c>
      <c r="D102" s="1">
        <v>2025</v>
      </c>
      <c r="E102">
        <v>64</v>
      </c>
      <c r="F102">
        <v>59</v>
      </c>
      <c r="G102">
        <v>24</v>
      </c>
      <c r="H102">
        <v>1533</v>
      </c>
      <c r="I102" s="1" t="s">
        <v>266</v>
      </c>
      <c r="J102">
        <v>43.8</v>
      </c>
      <c r="K102">
        <v>1258</v>
      </c>
      <c r="L102">
        <v>121.86</v>
      </c>
      <c r="M102">
        <v>0</v>
      </c>
      <c r="N102">
        <v>11</v>
      </c>
      <c r="O102">
        <v>4</v>
      </c>
      <c r="P102">
        <v>102</v>
      </c>
      <c r="Q102">
        <v>63</v>
      </c>
    </row>
    <row r="103" spans="1:17" x14ac:dyDescent="0.35">
      <c r="A103" t="s">
        <v>179</v>
      </c>
      <c r="B103" s="1" t="s">
        <v>97</v>
      </c>
      <c r="C103" s="1">
        <v>2012</v>
      </c>
      <c r="D103" s="1">
        <v>2020</v>
      </c>
      <c r="E103">
        <v>50</v>
      </c>
      <c r="F103">
        <v>50</v>
      </c>
      <c r="G103">
        <v>7</v>
      </c>
      <c r="H103">
        <v>1528</v>
      </c>
      <c r="I103" s="1" t="s">
        <v>181</v>
      </c>
      <c r="J103">
        <v>35.53</v>
      </c>
      <c r="K103">
        <v>1137</v>
      </c>
      <c r="L103">
        <v>134.38</v>
      </c>
      <c r="M103">
        <v>1</v>
      </c>
      <c r="N103">
        <v>10</v>
      </c>
      <c r="O103">
        <v>0</v>
      </c>
      <c r="P103">
        <v>140</v>
      </c>
      <c r="Q103">
        <v>50</v>
      </c>
    </row>
    <row r="104" spans="1:17" x14ac:dyDescent="0.35">
      <c r="A104" t="s">
        <v>182</v>
      </c>
      <c r="B104" s="1" t="s">
        <v>101</v>
      </c>
      <c r="C104" s="1">
        <v>2007</v>
      </c>
      <c r="D104" s="1">
        <v>2021</v>
      </c>
      <c r="E104">
        <v>68</v>
      </c>
      <c r="F104">
        <v>67</v>
      </c>
      <c r="G104">
        <v>10</v>
      </c>
      <c r="H104">
        <v>1527</v>
      </c>
      <c r="I104" s="1" t="s">
        <v>184</v>
      </c>
      <c r="J104">
        <v>26.78</v>
      </c>
      <c r="K104">
        <v>1264</v>
      </c>
      <c r="L104">
        <v>120.8</v>
      </c>
      <c r="M104">
        <v>0</v>
      </c>
      <c r="N104">
        <v>9</v>
      </c>
      <c r="O104">
        <v>6</v>
      </c>
      <c r="P104">
        <v>140</v>
      </c>
      <c r="Q104">
        <v>68</v>
      </c>
    </row>
    <row r="105" spans="1:17" x14ac:dyDescent="0.35">
      <c r="A105" t="s">
        <v>185</v>
      </c>
      <c r="B105" s="1" t="s">
        <v>90</v>
      </c>
      <c r="C105" s="1">
        <v>2014</v>
      </c>
      <c r="D105" s="1">
        <v>2022</v>
      </c>
      <c r="E105">
        <v>64</v>
      </c>
      <c r="F105">
        <v>64</v>
      </c>
      <c r="G105">
        <v>1</v>
      </c>
      <c r="H105">
        <v>1522</v>
      </c>
      <c r="I105" s="1" t="s">
        <v>187</v>
      </c>
      <c r="J105">
        <v>24.15</v>
      </c>
      <c r="K105">
        <v>1106</v>
      </c>
      <c r="L105">
        <v>137.61000000000001</v>
      </c>
      <c r="M105">
        <v>0</v>
      </c>
      <c r="N105">
        <v>8</v>
      </c>
      <c r="O105">
        <v>7</v>
      </c>
      <c r="P105">
        <v>153</v>
      </c>
      <c r="Q105">
        <v>69</v>
      </c>
    </row>
    <row r="106" spans="1:17" x14ac:dyDescent="0.35">
      <c r="A106" t="s">
        <v>188</v>
      </c>
      <c r="B106" s="1" t="s">
        <v>98</v>
      </c>
      <c r="C106" s="1">
        <v>2006</v>
      </c>
      <c r="D106" s="1">
        <v>2022</v>
      </c>
      <c r="E106">
        <v>102</v>
      </c>
      <c r="F106">
        <v>93</v>
      </c>
      <c r="G106">
        <v>16</v>
      </c>
      <c r="H106">
        <v>1500</v>
      </c>
      <c r="I106" s="1" t="s">
        <v>190</v>
      </c>
      <c r="J106">
        <v>19.48</v>
      </c>
      <c r="K106">
        <v>1304</v>
      </c>
      <c r="L106">
        <v>115.03</v>
      </c>
      <c r="M106">
        <v>0</v>
      </c>
      <c r="N106">
        <v>6</v>
      </c>
      <c r="O106">
        <v>8</v>
      </c>
      <c r="P106">
        <v>126</v>
      </c>
      <c r="Q106">
        <v>37</v>
      </c>
    </row>
    <row r="107" spans="1:17" x14ac:dyDescent="0.35">
      <c r="A107" t="s">
        <v>193</v>
      </c>
      <c r="B107" s="1" t="s">
        <v>102</v>
      </c>
      <c r="C107" s="1">
        <v>2008</v>
      </c>
      <c r="D107" s="1">
        <v>2021</v>
      </c>
      <c r="E107">
        <v>70</v>
      </c>
      <c r="F107">
        <v>68</v>
      </c>
      <c r="G107">
        <v>2</v>
      </c>
      <c r="H107">
        <v>1495</v>
      </c>
      <c r="I107" s="1" t="s">
        <v>60</v>
      </c>
      <c r="J107">
        <v>22.65</v>
      </c>
      <c r="K107">
        <v>1254</v>
      </c>
      <c r="L107">
        <v>119.21</v>
      </c>
      <c r="M107">
        <v>0</v>
      </c>
      <c r="N107">
        <v>6</v>
      </c>
      <c r="O107">
        <v>4</v>
      </c>
      <c r="P107">
        <v>158</v>
      </c>
      <c r="Q107">
        <v>48</v>
      </c>
    </row>
    <row r="108" spans="1:17" x14ac:dyDescent="0.35">
      <c r="A108" t="s">
        <v>194</v>
      </c>
      <c r="B108" s="1" t="s">
        <v>108</v>
      </c>
      <c r="C108" s="1">
        <v>2006</v>
      </c>
      <c r="D108" s="1">
        <v>2014</v>
      </c>
      <c r="E108">
        <v>55</v>
      </c>
      <c r="F108">
        <v>55</v>
      </c>
      <c r="G108">
        <v>8</v>
      </c>
      <c r="H108">
        <v>1493</v>
      </c>
      <c r="I108" s="1" t="s">
        <v>9</v>
      </c>
      <c r="J108">
        <v>31.76</v>
      </c>
      <c r="K108">
        <v>1121</v>
      </c>
      <c r="L108">
        <v>133.18</v>
      </c>
      <c r="M108">
        <v>1</v>
      </c>
      <c r="N108">
        <v>9</v>
      </c>
      <c r="O108">
        <v>4</v>
      </c>
      <c r="P108">
        <v>173</v>
      </c>
      <c r="Q108">
        <v>33</v>
      </c>
    </row>
    <row r="109" spans="1:17" x14ac:dyDescent="0.35">
      <c r="A109" t="s">
        <v>413</v>
      </c>
      <c r="B109" s="1" t="s">
        <v>274</v>
      </c>
      <c r="C109" s="1">
        <v>2019</v>
      </c>
      <c r="D109" s="1">
        <v>2025</v>
      </c>
      <c r="E109">
        <v>50</v>
      </c>
      <c r="F109">
        <v>48</v>
      </c>
      <c r="G109">
        <v>6</v>
      </c>
      <c r="H109">
        <v>1485</v>
      </c>
      <c r="I109" s="1" t="s">
        <v>200</v>
      </c>
      <c r="J109">
        <v>35.35</v>
      </c>
      <c r="K109">
        <v>921</v>
      </c>
      <c r="L109">
        <v>161.22999999999999</v>
      </c>
      <c r="M109">
        <v>1</v>
      </c>
      <c r="N109">
        <v>11</v>
      </c>
      <c r="O109">
        <v>2</v>
      </c>
      <c r="P109">
        <v>149</v>
      </c>
      <c r="Q109">
        <v>86</v>
      </c>
    </row>
    <row r="110" spans="1:17" x14ac:dyDescent="0.35">
      <c r="A110" t="s">
        <v>238</v>
      </c>
      <c r="B110" s="1" t="s">
        <v>91</v>
      </c>
      <c r="C110" s="1">
        <v>2016</v>
      </c>
      <c r="D110" s="1">
        <v>2025</v>
      </c>
      <c r="E110">
        <v>82</v>
      </c>
      <c r="F110">
        <v>76</v>
      </c>
      <c r="G110">
        <v>8</v>
      </c>
      <c r="H110">
        <v>1479</v>
      </c>
      <c r="I110" s="1" t="s">
        <v>239</v>
      </c>
      <c r="J110">
        <v>21.75</v>
      </c>
      <c r="K110">
        <v>1199</v>
      </c>
      <c r="L110">
        <v>123.35</v>
      </c>
      <c r="M110">
        <v>0</v>
      </c>
      <c r="N110">
        <v>10</v>
      </c>
      <c r="O110">
        <v>7</v>
      </c>
      <c r="P110">
        <v>140</v>
      </c>
      <c r="Q110">
        <v>35</v>
      </c>
    </row>
    <row r="111" spans="1:17" x14ac:dyDescent="0.35">
      <c r="A111" t="s">
        <v>199</v>
      </c>
      <c r="B111" s="1" t="s">
        <v>89</v>
      </c>
      <c r="C111" s="1">
        <v>2009</v>
      </c>
      <c r="D111" s="1">
        <v>2019</v>
      </c>
      <c r="E111">
        <v>59</v>
      </c>
      <c r="F111">
        <v>59</v>
      </c>
      <c r="G111">
        <v>2</v>
      </c>
      <c r="H111">
        <v>1471</v>
      </c>
      <c r="I111" s="1" t="s">
        <v>200</v>
      </c>
      <c r="J111">
        <v>25.8</v>
      </c>
      <c r="K111">
        <v>1282</v>
      </c>
      <c r="L111">
        <v>114.74</v>
      </c>
      <c r="M111">
        <v>1</v>
      </c>
      <c r="N111">
        <v>7</v>
      </c>
      <c r="O111">
        <v>2</v>
      </c>
      <c r="P111">
        <v>157</v>
      </c>
      <c r="Q111">
        <v>33</v>
      </c>
    </row>
    <row r="112" spans="1:17" x14ac:dyDescent="0.35">
      <c r="A112" t="s">
        <v>214</v>
      </c>
      <c r="B112" s="1" t="s">
        <v>101</v>
      </c>
      <c r="C112" s="1">
        <v>2011</v>
      </c>
      <c r="D112" s="1">
        <v>2025</v>
      </c>
      <c r="E112">
        <v>64</v>
      </c>
      <c r="F112">
        <v>63</v>
      </c>
      <c r="G112">
        <v>0</v>
      </c>
      <c r="H112">
        <v>1468</v>
      </c>
      <c r="I112" s="1" t="s">
        <v>215</v>
      </c>
      <c r="J112">
        <v>23.3</v>
      </c>
      <c r="K112">
        <v>1136</v>
      </c>
      <c r="L112">
        <v>129.22</v>
      </c>
      <c r="M112">
        <v>1</v>
      </c>
      <c r="N112">
        <v>5</v>
      </c>
      <c r="O112">
        <v>7</v>
      </c>
      <c r="P112">
        <v>157</v>
      </c>
      <c r="Q112">
        <v>69</v>
      </c>
    </row>
    <row r="113" spans="1:17" x14ac:dyDescent="0.35">
      <c r="A113" t="s">
        <v>237</v>
      </c>
      <c r="B113" s="1" t="s">
        <v>97</v>
      </c>
      <c r="C113" s="1">
        <v>2019</v>
      </c>
      <c r="D113" s="1">
        <v>2025</v>
      </c>
      <c r="E113">
        <v>62</v>
      </c>
      <c r="F113">
        <v>58</v>
      </c>
      <c r="G113">
        <v>8</v>
      </c>
      <c r="H113">
        <v>1467</v>
      </c>
      <c r="I113" s="1" t="s">
        <v>208</v>
      </c>
      <c r="J113">
        <v>29.34</v>
      </c>
      <c r="K113">
        <v>1006</v>
      </c>
      <c r="L113">
        <v>145.82</v>
      </c>
      <c r="M113">
        <v>0</v>
      </c>
      <c r="N113">
        <v>9</v>
      </c>
      <c r="O113">
        <v>2</v>
      </c>
      <c r="P113">
        <v>132</v>
      </c>
      <c r="Q113">
        <v>63</v>
      </c>
    </row>
    <row r="114" spans="1:17" x14ac:dyDescent="0.35">
      <c r="A114" t="s">
        <v>201</v>
      </c>
      <c r="B114" s="1" t="s">
        <v>98</v>
      </c>
      <c r="C114" s="1">
        <v>2015</v>
      </c>
      <c r="D114" s="1">
        <v>2024</v>
      </c>
      <c r="E114">
        <v>87</v>
      </c>
      <c r="F114">
        <v>86</v>
      </c>
      <c r="G114">
        <v>4</v>
      </c>
      <c r="H114">
        <v>1462</v>
      </c>
      <c r="I114" s="1" t="s">
        <v>202</v>
      </c>
      <c r="J114">
        <v>17.82</v>
      </c>
      <c r="K114">
        <v>1197</v>
      </c>
      <c r="L114">
        <v>122.13</v>
      </c>
      <c r="M114">
        <v>0</v>
      </c>
      <c r="N114">
        <v>5</v>
      </c>
      <c r="O114">
        <v>13</v>
      </c>
      <c r="P114">
        <v>145</v>
      </c>
      <c r="Q114">
        <v>55</v>
      </c>
    </row>
    <row r="115" spans="1:17" x14ac:dyDescent="0.35">
      <c r="A115" t="s">
        <v>203</v>
      </c>
      <c r="B115" s="1" t="s">
        <v>93</v>
      </c>
      <c r="C115" s="1">
        <v>2006</v>
      </c>
      <c r="D115" s="1">
        <v>2016</v>
      </c>
      <c r="E115">
        <v>58</v>
      </c>
      <c r="F115">
        <v>56</v>
      </c>
      <c r="G115">
        <v>6</v>
      </c>
      <c r="H115">
        <v>1462</v>
      </c>
      <c r="I115" s="1" t="s">
        <v>204</v>
      </c>
      <c r="J115">
        <v>29.24</v>
      </c>
      <c r="K115">
        <v>1006</v>
      </c>
      <c r="L115">
        <v>145.32</v>
      </c>
      <c r="M115">
        <v>1</v>
      </c>
      <c r="N115">
        <v>10</v>
      </c>
      <c r="O115">
        <v>3</v>
      </c>
      <c r="P115">
        <v>115</v>
      </c>
      <c r="Q115">
        <v>83</v>
      </c>
    </row>
    <row r="116" spans="1:17" x14ac:dyDescent="0.35">
      <c r="A116" t="s">
        <v>207</v>
      </c>
      <c r="B116" s="1" t="s">
        <v>100</v>
      </c>
      <c r="C116" s="1">
        <v>2010</v>
      </c>
      <c r="D116" s="1">
        <v>2024</v>
      </c>
      <c r="E116">
        <v>71</v>
      </c>
      <c r="F116">
        <v>70</v>
      </c>
      <c r="G116">
        <v>4</v>
      </c>
      <c r="H116">
        <v>1449</v>
      </c>
      <c r="I116" s="1" t="s">
        <v>208</v>
      </c>
      <c r="J116">
        <v>21.95</v>
      </c>
      <c r="K116">
        <v>1370</v>
      </c>
      <c r="L116">
        <v>105.76</v>
      </c>
      <c r="M116">
        <v>0</v>
      </c>
      <c r="N116">
        <v>9</v>
      </c>
      <c r="O116">
        <v>5</v>
      </c>
      <c r="P116">
        <v>143</v>
      </c>
      <c r="Q116">
        <v>30</v>
      </c>
    </row>
    <row r="117" spans="1:17" x14ac:dyDescent="0.35">
      <c r="A117" t="s">
        <v>211</v>
      </c>
      <c r="B117" s="1" t="s">
        <v>212</v>
      </c>
      <c r="C117" s="1">
        <v>2020</v>
      </c>
      <c r="D117" s="1">
        <v>2025</v>
      </c>
      <c r="E117">
        <v>66</v>
      </c>
      <c r="F117">
        <v>63</v>
      </c>
      <c r="G117">
        <v>8</v>
      </c>
      <c r="H117">
        <v>1445</v>
      </c>
      <c r="I117" s="1" t="s">
        <v>29</v>
      </c>
      <c r="J117">
        <v>26.27</v>
      </c>
      <c r="K117">
        <v>995</v>
      </c>
      <c r="L117">
        <v>145.22</v>
      </c>
      <c r="M117">
        <v>1</v>
      </c>
      <c r="N117">
        <v>9</v>
      </c>
      <c r="O117">
        <v>3</v>
      </c>
      <c r="P117">
        <v>100</v>
      </c>
      <c r="Q117">
        <v>90</v>
      </c>
    </row>
    <row r="118" spans="1:17" x14ac:dyDescent="0.35">
      <c r="A118" t="s">
        <v>288</v>
      </c>
      <c r="B118" s="1" t="s">
        <v>289</v>
      </c>
      <c r="C118" s="1">
        <v>2019</v>
      </c>
      <c r="D118" s="1">
        <v>2025</v>
      </c>
      <c r="E118">
        <v>52</v>
      </c>
      <c r="F118">
        <v>48</v>
      </c>
      <c r="G118">
        <v>6</v>
      </c>
      <c r="H118">
        <v>1436</v>
      </c>
      <c r="I118" s="1" t="s">
        <v>48</v>
      </c>
      <c r="J118">
        <v>34.19</v>
      </c>
      <c r="K118">
        <v>944</v>
      </c>
      <c r="L118">
        <v>152.11000000000001</v>
      </c>
      <c r="M118">
        <v>0</v>
      </c>
      <c r="N118">
        <v>10</v>
      </c>
      <c r="O118">
        <v>6</v>
      </c>
      <c r="P118">
        <v>146</v>
      </c>
      <c r="Q118">
        <v>72</v>
      </c>
    </row>
    <row r="119" spans="1:17" x14ac:dyDescent="0.35">
      <c r="A119" t="s">
        <v>216</v>
      </c>
      <c r="B119" s="1" t="s">
        <v>217</v>
      </c>
      <c r="C119" s="1">
        <v>2021</v>
      </c>
      <c r="D119" s="1">
        <v>2025</v>
      </c>
      <c r="E119">
        <v>64</v>
      </c>
      <c r="F119">
        <v>63</v>
      </c>
      <c r="G119">
        <v>4</v>
      </c>
      <c r="H119">
        <v>1429</v>
      </c>
      <c r="I119" s="1" t="s">
        <v>65</v>
      </c>
      <c r="J119">
        <v>24.22</v>
      </c>
      <c r="K119">
        <v>968</v>
      </c>
      <c r="L119">
        <v>147.62</v>
      </c>
      <c r="M119">
        <v>0</v>
      </c>
      <c r="N119">
        <v>7</v>
      </c>
      <c r="O119">
        <v>6</v>
      </c>
      <c r="P119">
        <v>158</v>
      </c>
      <c r="Q119">
        <v>78</v>
      </c>
    </row>
    <row r="120" spans="1:17" x14ac:dyDescent="0.35">
      <c r="A120" t="s">
        <v>241</v>
      </c>
      <c r="B120" s="1" t="s">
        <v>242</v>
      </c>
      <c r="C120" s="1">
        <v>2019</v>
      </c>
      <c r="D120" s="1">
        <v>2025</v>
      </c>
      <c r="E120">
        <v>56</v>
      </c>
      <c r="F120">
        <v>56</v>
      </c>
      <c r="G120">
        <v>10</v>
      </c>
      <c r="H120">
        <v>1419</v>
      </c>
      <c r="I120" s="1" t="s">
        <v>75</v>
      </c>
      <c r="J120">
        <v>30.84</v>
      </c>
      <c r="K120">
        <v>1028</v>
      </c>
      <c r="L120">
        <v>138.03</v>
      </c>
      <c r="M120">
        <v>0</v>
      </c>
      <c r="N120">
        <v>7</v>
      </c>
      <c r="O120">
        <v>5</v>
      </c>
      <c r="P120">
        <v>116</v>
      </c>
      <c r="Q120">
        <v>54</v>
      </c>
    </row>
    <row r="121" spans="1:17" x14ac:dyDescent="0.35">
      <c r="A121" t="s">
        <v>218</v>
      </c>
      <c r="B121" s="1" t="s">
        <v>108</v>
      </c>
      <c r="C121" s="1">
        <v>2009</v>
      </c>
      <c r="D121" s="1">
        <v>2024</v>
      </c>
      <c r="E121">
        <v>90</v>
      </c>
      <c r="F121">
        <v>73</v>
      </c>
      <c r="G121">
        <v>22</v>
      </c>
      <c r="H121">
        <v>1416</v>
      </c>
      <c r="I121" s="1" t="s">
        <v>219</v>
      </c>
      <c r="J121">
        <v>27.76</v>
      </c>
      <c r="K121">
        <v>1175</v>
      </c>
      <c r="L121">
        <v>120.51</v>
      </c>
      <c r="M121">
        <v>0</v>
      </c>
      <c r="N121">
        <v>6</v>
      </c>
      <c r="O121">
        <v>1</v>
      </c>
      <c r="P121">
        <v>92</v>
      </c>
      <c r="Q121">
        <v>50</v>
      </c>
    </row>
    <row r="122" spans="1:17" x14ac:dyDescent="0.35">
      <c r="A122" t="s">
        <v>220</v>
      </c>
      <c r="B122" s="1" t="s">
        <v>89</v>
      </c>
      <c r="C122" s="1">
        <v>2006</v>
      </c>
      <c r="D122" s="1">
        <v>2018</v>
      </c>
      <c r="E122">
        <v>99</v>
      </c>
      <c r="F122">
        <v>91</v>
      </c>
      <c r="G122">
        <v>12</v>
      </c>
      <c r="H122">
        <v>1416</v>
      </c>
      <c r="I122" s="1" t="s">
        <v>221</v>
      </c>
      <c r="J122">
        <v>17.920000000000002</v>
      </c>
      <c r="K122">
        <v>944</v>
      </c>
      <c r="L122">
        <v>150</v>
      </c>
      <c r="M122">
        <v>0</v>
      </c>
      <c r="N122">
        <v>4</v>
      </c>
      <c r="O122">
        <v>8</v>
      </c>
      <c r="P122">
        <v>103</v>
      </c>
      <c r="Q122">
        <v>73</v>
      </c>
    </row>
    <row r="123" spans="1:17" x14ac:dyDescent="0.35">
      <c r="A123" t="s">
        <v>502</v>
      </c>
      <c r="B123" s="1" t="s">
        <v>225</v>
      </c>
      <c r="C123" s="1">
        <v>2019</v>
      </c>
      <c r="D123" s="1">
        <v>2025</v>
      </c>
      <c r="E123">
        <v>55</v>
      </c>
      <c r="F123">
        <v>52</v>
      </c>
      <c r="G123">
        <v>15</v>
      </c>
      <c r="H123">
        <v>1409</v>
      </c>
      <c r="I123" s="1" t="s">
        <v>144</v>
      </c>
      <c r="J123">
        <v>38.08</v>
      </c>
      <c r="K123">
        <v>1100</v>
      </c>
      <c r="L123">
        <v>128.09</v>
      </c>
      <c r="M123">
        <v>1</v>
      </c>
      <c r="N123">
        <v>8</v>
      </c>
      <c r="O123">
        <v>6</v>
      </c>
      <c r="P123">
        <v>85</v>
      </c>
      <c r="Q123">
        <v>80</v>
      </c>
    </row>
    <row r="124" spans="1:17" x14ac:dyDescent="0.35">
      <c r="A124" t="s">
        <v>224</v>
      </c>
      <c r="B124" s="1" t="s">
        <v>225</v>
      </c>
      <c r="C124" s="1">
        <v>2021</v>
      </c>
      <c r="D124" s="1">
        <v>2024</v>
      </c>
      <c r="E124">
        <v>63</v>
      </c>
      <c r="F124">
        <v>59</v>
      </c>
      <c r="G124">
        <v>14</v>
      </c>
      <c r="H124">
        <v>1408</v>
      </c>
      <c r="I124" s="1" t="s">
        <v>141</v>
      </c>
      <c r="J124">
        <v>31.28</v>
      </c>
      <c r="K124">
        <v>1161</v>
      </c>
      <c r="L124">
        <v>121.27</v>
      </c>
      <c r="M124">
        <v>0</v>
      </c>
      <c r="N124">
        <v>8</v>
      </c>
      <c r="O124">
        <v>2</v>
      </c>
      <c r="P124">
        <v>92</v>
      </c>
      <c r="Q124">
        <v>62</v>
      </c>
    </row>
    <row r="125" spans="1:17" x14ac:dyDescent="0.35">
      <c r="A125" t="s">
        <v>260</v>
      </c>
      <c r="B125" s="1" t="s">
        <v>97</v>
      </c>
      <c r="C125" s="1">
        <v>2018</v>
      </c>
      <c r="D125" s="1">
        <v>2025</v>
      </c>
      <c r="E125">
        <v>57</v>
      </c>
      <c r="F125">
        <v>53</v>
      </c>
      <c r="G125">
        <v>11</v>
      </c>
      <c r="H125">
        <v>1406</v>
      </c>
      <c r="I125" s="1" t="s">
        <v>239</v>
      </c>
      <c r="J125">
        <v>33.47</v>
      </c>
      <c r="K125">
        <v>1092</v>
      </c>
      <c r="L125">
        <v>128.75</v>
      </c>
      <c r="M125">
        <v>0</v>
      </c>
      <c r="N125">
        <v>10</v>
      </c>
      <c r="O125">
        <v>2</v>
      </c>
      <c r="P125">
        <v>89</v>
      </c>
      <c r="Q125">
        <v>62</v>
      </c>
    </row>
    <row r="126" spans="1:17" x14ac:dyDescent="0.35">
      <c r="A126" t="s">
        <v>367</v>
      </c>
      <c r="B126" s="1" t="s">
        <v>101</v>
      </c>
      <c r="C126" s="1">
        <v>2017</v>
      </c>
      <c r="D126" s="1">
        <v>2025</v>
      </c>
      <c r="E126">
        <v>58</v>
      </c>
      <c r="F126">
        <v>56</v>
      </c>
      <c r="G126">
        <v>8</v>
      </c>
      <c r="H126">
        <v>1403</v>
      </c>
      <c r="I126" s="1" t="s">
        <v>236</v>
      </c>
      <c r="J126">
        <v>29.22</v>
      </c>
      <c r="K126">
        <v>1019</v>
      </c>
      <c r="L126">
        <v>137.68</v>
      </c>
      <c r="M126">
        <v>1</v>
      </c>
      <c r="N126">
        <v>9</v>
      </c>
      <c r="O126">
        <v>3</v>
      </c>
      <c r="P126">
        <v>107</v>
      </c>
      <c r="Q126">
        <v>76</v>
      </c>
    </row>
    <row r="127" spans="1:17" x14ac:dyDescent="0.35">
      <c r="A127" t="s">
        <v>262</v>
      </c>
      <c r="B127" s="1" t="s">
        <v>217</v>
      </c>
      <c r="C127" s="1">
        <v>2021</v>
      </c>
      <c r="D127" s="1">
        <v>2025</v>
      </c>
      <c r="E127">
        <v>57</v>
      </c>
      <c r="F127">
        <v>57</v>
      </c>
      <c r="G127">
        <v>5</v>
      </c>
      <c r="H127">
        <v>1387</v>
      </c>
      <c r="I127" s="1" t="s">
        <v>263</v>
      </c>
      <c r="J127">
        <v>26.67</v>
      </c>
      <c r="K127">
        <v>1128</v>
      </c>
      <c r="L127">
        <v>122.96</v>
      </c>
      <c r="M127">
        <v>0</v>
      </c>
      <c r="N127">
        <v>6</v>
      </c>
      <c r="O127">
        <v>3</v>
      </c>
      <c r="P127">
        <v>169</v>
      </c>
      <c r="Q127">
        <v>42</v>
      </c>
    </row>
    <row r="128" spans="1:17" x14ac:dyDescent="0.35">
      <c r="A128" t="s">
        <v>244</v>
      </c>
      <c r="B128" s="1" t="s">
        <v>102</v>
      </c>
      <c r="C128" s="1">
        <v>2013</v>
      </c>
      <c r="D128" s="1">
        <v>2025</v>
      </c>
      <c r="E128">
        <v>83</v>
      </c>
      <c r="F128">
        <v>71</v>
      </c>
      <c r="G128">
        <v>12</v>
      </c>
      <c r="H128">
        <v>1386</v>
      </c>
      <c r="I128" s="1" t="s">
        <v>245</v>
      </c>
      <c r="J128">
        <v>23.49</v>
      </c>
      <c r="K128">
        <v>1200</v>
      </c>
      <c r="L128">
        <v>115.5</v>
      </c>
      <c r="M128">
        <v>0</v>
      </c>
      <c r="N128">
        <v>5</v>
      </c>
      <c r="O128">
        <v>5</v>
      </c>
      <c r="P128">
        <v>126</v>
      </c>
      <c r="Q128">
        <v>34</v>
      </c>
    </row>
    <row r="129" spans="1:17" x14ac:dyDescent="0.35">
      <c r="A129" t="s">
        <v>230</v>
      </c>
      <c r="B129" s="1" t="s">
        <v>103</v>
      </c>
      <c r="C129" s="1">
        <v>2010</v>
      </c>
      <c r="D129" s="1">
        <v>2021</v>
      </c>
      <c r="E129">
        <v>75</v>
      </c>
      <c r="F129">
        <v>68</v>
      </c>
      <c r="G129">
        <v>5</v>
      </c>
      <c r="H129">
        <v>1382</v>
      </c>
      <c r="I129" s="1" t="s">
        <v>232</v>
      </c>
      <c r="J129">
        <v>21.93</v>
      </c>
      <c r="K129">
        <v>1247</v>
      </c>
      <c r="L129">
        <v>110.82</v>
      </c>
      <c r="M129">
        <v>0</v>
      </c>
      <c r="N129">
        <v>4</v>
      </c>
      <c r="O129">
        <v>5</v>
      </c>
      <c r="P129">
        <v>87</v>
      </c>
      <c r="Q129">
        <v>69</v>
      </c>
    </row>
    <row r="130" spans="1:17" x14ac:dyDescent="0.35">
      <c r="A130" t="s">
        <v>233</v>
      </c>
      <c r="B130" s="1" t="s">
        <v>108</v>
      </c>
      <c r="C130" s="1">
        <v>2006</v>
      </c>
      <c r="D130" s="1">
        <v>2014</v>
      </c>
      <c r="E130">
        <v>56</v>
      </c>
      <c r="F130">
        <v>53</v>
      </c>
      <c r="G130">
        <v>9</v>
      </c>
      <c r="H130">
        <v>1382</v>
      </c>
      <c r="I130" s="1" t="s">
        <v>187</v>
      </c>
      <c r="J130">
        <v>31.4</v>
      </c>
      <c r="K130">
        <v>1156</v>
      </c>
      <c r="L130">
        <v>119.55</v>
      </c>
      <c r="M130">
        <v>0</v>
      </c>
      <c r="N130">
        <v>8</v>
      </c>
      <c r="O130">
        <v>2</v>
      </c>
      <c r="P130">
        <v>139</v>
      </c>
      <c r="Q130">
        <v>20</v>
      </c>
    </row>
    <row r="131" spans="1:17" x14ac:dyDescent="0.35">
      <c r="A131" t="s">
        <v>235</v>
      </c>
      <c r="B131" s="1" t="s">
        <v>228</v>
      </c>
      <c r="C131" s="1">
        <v>2015</v>
      </c>
      <c r="D131" s="1">
        <v>2024</v>
      </c>
      <c r="E131">
        <v>73</v>
      </c>
      <c r="F131">
        <v>62</v>
      </c>
      <c r="G131">
        <v>10</v>
      </c>
      <c r="H131">
        <v>1369</v>
      </c>
      <c r="I131" s="1" t="s">
        <v>236</v>
      </c>
      <c r="J131">
        <v>26.32</v>
      </c>
      <c r="K131">
        <v>1149</v>
      </c>
      <c r="L131">
        <v>119.14</v>
      </c>
      <c r="M131">
        <v>1</v>
      </c>
      <c r="N131">
        <v>5</v>
      </c>
      <c r="O131">
        <v>4</v>
      </c>
      <c r="P131">
        <v>137</v>
      </c>
      <c r="Q131">
        <v>49</v>
      </c>
    </row>
    <row r="132" spans="1:17" x14ac:dyDescent="0.35">
      <c r="A132" t="s">
        <v>265</v>
      </c>
      <c r="B132" s="1" t="s">
        <v>108</v>
      </c>
      <c r="C132" s="1">
        <v>2021</v>
      </c>
      <c r="D132" s="1">
        <v>2025</v>
      </c>
      <c r="E132">
        <v>70</v>
      </c>
      <c r="F132">
        <v>68</v>
      </c>
      <c r="G132">
        <v>8</v>
      </c>
      <c r="H132">
        <v>1357</v>
      </c>
      <c r="I132" s="1" t="s">
        <v>266</v>
      </c>
      <c r="J132">
        <v>22.61</v>
      </c>
      <c r="K132">
        <v>1074</v>
      </c>
      <c r="L132">
        <v>126.35</v>
      </c>
      <c r="M132">
        <v>0</v>
      </c>
      <c r="N132">
        <v>6</v>
      </c>
      <c r="O132">
        <v>7</v>
      </c>
      <c r="P132">
        <v>92</v>
      </c>
      <c r="Q132">
        <v>64</v>
      </c>
    </row>
    <row r="133" spans="1:17" x14ac:dyDescent="0.35">
      <c r="A133" t="s">
        <v>248</v>
      </c>
      <c r="B133" s="1" t="s">
        <v>249</v>
      </c>
      <c r="C133" s="1">
        <v>2019</v>
      </c>
      <c r="D133" s="1">
        <v>2025</v>
      </c>
      <c r="E133">
        <v>58</v>
      </c>
      <c r="F133">
        <v>56</v>
      </c>
      <c r="G133">
        <v>5</v>
      </c>
      <c r="H133">
        <v>1355</v>
      </c>
      <c r="I133" s="1" t="s">
        <v>45</v>
      </c>
      <c r="J133">
        <v>26.56</v>
      </c>
      <c r="K133">
        <v>1280</v>
      </c>
      <c r="L133">
        <v>105.85</v>
      </c>
      <c r="M133">
        <v>0</v>
      </c>
      <c r="N133">
        <v>8</v>
      </c>
      <c r="O133">
        <v>2</v>
      </c>
      <c r="P133">
        <v>146</v>
      </c>
      <c r="Q133">
        <v>25</v>
      </c>
    </row>
    <row r="134" spans="1:17" x14ac:dyDescent="0.35">
      <c r="A134" t="s">
        <v>327</v>
      </c>
      <c r="B134" s="1" t="s">
        <v>289</v>
      </c>
      <c r="C134" s="1">
        <v>2021</v>
      </c>
      <c r="D134" s="1">
        <v>2025</v>
      </c>
      <c r="E134">
        <v>44</v>
      </c>
      <c r="F134">
        <v>43</v>
      </c>
      <c r="G134">
        <v>4</v>
      </c>
      <c r="H134">
        <v>1351</v>
      </c>
      <c r="I134" s="1" t="s">
        <v>170</v>
      </c>
      <c r="J134">
        <v>34.64</v>
      </c>
      <c r="K134">
        <v>848</v>
      </c>
      <c r="L134">
        <v>159.31</v>
      </c>
      <c r="M134">
        <v>1</v>
      </c>
      <c r="N134">
        <v>7</v>
      </c>
      <c r="O134">
        <v>1</v>
      </c>
      <c r="P134">
        <v>167</v>
      </c>
      <c r="Q134">
        <v>61</v>
      </c>
    </row>
    <row r="135" spans="1:17" x14ac:dyDescent="0.35">
      <c r="A135" t="s">
        <v>267</v>
      </c>
      <c r="B135" s="1" t="s">
        <v>93</v>
      </c>
      <c r="C135" s="1">
        <v>2015</v>
      </c>
      <c r="D135" s="1">
        <v>2025</v>
      </c>
      <c r="E135">
        <v>82</v>
      </c>
      <c r="F135">
        <v>66</v>
      </c>
      <c r="G135">
        <v>24</v>
      </c>
      <c r="H135">
        <v>1338</v>
      </c>
      <c r="I135" s="1" t="s">
        <v>187</v>
      </c>
      <c r="J135">
        <v>31.85</v>
      </c>
      <c r="K135">
        <v>907</v>
      </c>
      <c r="L135">
        <v>147.51</v>
      </c>
      <c r="M135">
        <v>0</v>
      </c>
      <c r="N135">
        <v>6</v>
      </c>
      <c r="O135">
        <v>2</v>
      </c>
      <c r="P135">
        <v>110</v>
      </c>
      <c r="Q135">
        <v>65</v>
      </c>
    </row>
    <row r="136" spans="1:17" x14ac:dyDescent="0.35">
      <c r="A136" t="s">
        <v>256</v>
      </c>
      <c r="B136" s="1" t="s">
        <v>149</v>
      </c>
      <c r="C136" s="1">
        <v>2015</v>
      </c>
      <c r="D136" s="1">
        <v>2025</v>
      </c>
      <c r="E136">
        <v>66</v>
      </c>
      <c r="F136">
        <v>63</v>
      </c>
      <c r="G136">
        <v>10</v>
      </c>
      <c r="H136">
        <v>1336</v>
      </c>
      <c r="I136" s="1" t="s">
        <v>147</v>
      </c>
      <c r="J136">
        <v>25.2</v>
      </c>
      <c r="K136">
        <v>1158</v>
      </c>
      <c r="L136">
        <v>115.37</v>
      </c>
      <c r="M136">
        <v>0</v>
      </c>
      <c r="N136">
        <v>8</v>
      </c>
      <c r="O136">
        <v>1</v>
      </c>
      <c r="P136">
        <v>118</v>
      </c>
      <c r="Q136">
        <v>40</v>
      </c>
    </row>
    <row r="137" spans="1:17" x14ac:dyDescent="0.35">
      <c r="A137" t="s">
        <v>243</v>
      </c>
      <c r="B137" s="1" t="s">
        <v>228</v>
      </c>
      <c r="C137" s="1">
        <v>2015</v>
      </c>
      <c r="D137" s="1">
        <v>2024</v>
      </c>
      <c r="E137">
        <v>56</v>
      </c>
      <c r="F137">
        <v>55</v>
      </c>
      <c r="G137">
        <v>7</v>
      </c>
      <c r="H137">
        <v>1330</v>
      </c>
      <c r="I137" s="1" t="s">
        <v>130</v>
      </c>
      <c r="J137">
        <v>27.7</v>
      </c>
      <c r="K137">
        <v>1092</v>
      </c>
      <c r="L137">
        <v>121.79</v>
      </c>
      <c r="M137">
        <v>0</v>
      </c>
      <c r="N137">
        <v>10</v>
      </c>
      <c r="O137">
        <v>4</v>
      </c>
      <c r="P137">
        <v>125</v>
      </c>
      <c r="Q137">
        <v>44</v>
      </c>
    </row>
    <row r="138" spans="1:17" x14ac:dyDescent="0.35">
      <c r="A138" t="s">
        <v>246</v>
      </c>
      <c r="B138" s="1" t="s">
        <v>247</v>
      </c>
      <c r="C138" s="1">
        <v>2021</v>
      </c>
      <c r="D138" s="1">
        <v>2024</v>
      </c>
      <c r="E138">
        <v>85</v>
      </c>
      <c r="F138">
        <v>81</v>
      </c>
      <c r="G138">
        <v>4</v>
      </c>
      <c r="H138">
        <v>1323</v>
      </c>
      <c r="I138" s="1" t="s">
        <v>31</v>
      </c>
      <c r="J138">
        <v>17.18</v>
      </c>
      <c r="K138">
        <v>1271</v>
      </c>
      <c r="L138">
        <v>104.09</v>
      </c>
      <c r="M138">
        <v>1</v>
      </c>
      <c r="N138">
        <v>3</v>
      </c>
      <c r="O138">
        <v>11</v>
      </c>
      <c r="P138">
        <v>131</v>
      </c>
      <c r="Q138">
        <v>32</v>
      </c>
    </row>
    <row r="139" spans="1:17" x14ac:dyDescent="0.35">
      <c r="A139" t="s">
        <v>310</v>
      </c>
      <c r="B139" s="1" t="s">
        <v>247</v>
      </c>
      <c r="C139" s="1">
        <v>2021</v>
      </c>
      <c r="D139" s="1">
        <v>2025</v>
      </c>
      <c r="E139">
        <v>90</v>
      </c>
      <c r="F139">
        <v>84</v>
      </c>
      <c r="G139">
        <v>7</v>
      </c>
      <c r="H139">
        <v>1306</v>
      </c>
      <c r="I139" s="1" t="s">
        <v>311</v>
      </c>
      <c r="J139">
        <v>16.96</v>
      </c>
      <c r="K139">
        <v>1583</v>
      </c>
      <c r="L139">
        <v>82.5</v>
      </c>
      <c r="M139">
        <v>0</v>
      </c>
      <c r="N139">
        <v>6</v>
      </c>
      <c r="O139">
        <v>6</v>
      </c>
      <c r="P139">
        <v>118</v>
      </c>
      <c r="Q139">
        <v>24</v>
      </c>
    </row>
    <row r="140" spans="1:17" x14ac:dyDescent="0.35">
      <c r="A140" t="s">
        <v>316</v>
      </c>
      <c r="B140" s="1" t="s">
        <v>95</v>
      </c>
      <c r="C140" s="1">
        <v>2023</v>
      </c>
      <c r="D140" s="1">
        <v>2025</v>
      </c>
      <c r="E140">
        <v>56</v>
      </c>
      <c r="F140">
        <v>56</v>
      </c>
      <c r="G140">
        <v>10</v>
      </c>
      <c r="H140">
        <v>1302</v>
      </c>
      <c r="I140" s="1" t="s">
        <v>263</v>
      </c>
      <c r="J140">
        <v>28.3</v>
      </c>
      <c r="K140">
        <v>944</v>
      </c>
      <c r="L140">
        <v>137.91999999999999</v>
      </c>
      <c r="M140">
        <v>0</v>
      </c>
      <c r="N140">
        <v>6</v>
      </c>
      <c r="O140">
        <v>4</v>
      </c>
      <c r="P140">
        <v>81</v>
      </c>
      <c r="Q140">
        <v>84</v>
      </c>
    </row>
    <row r="141" spans="1:17" x14ac:dyDescent="0.35">
      <c r="A141" t="s">
        <v>273</v>
      </c>
      <c r="B141" s="1" t="s">
        <v>274</v>
      </c>
      <c r="C141" s="1">
        <v>2019</v>
      </c>
      <c r="D141" s="1">
        <v>2025</v>
      </c>
      <c r="E141">
        <v>55</v>
      </c>
      <c r="F141">
        <v>49</v>
      </c>
      <c r="G141">
        <v>8</v>
      </c>
      <c r="H141">
        <v>1301</v>
      </c>
      <c r="I141" s="1" t="s">
        <v>275</v>
      </c>
      <c r="J141">
        <v>31.73</v>
      </c>
      <c r="K141">
        <v>926</v>
      </c>
      <c r="L141">
        <v>140.49</v>
      </c>
      <c r="M141">
        <v>0</v>
      </c>
      <c r="N141">
        <v>8</v>
      </c>
      <c r="O141">
        <v>4</v>
      </c>
      <c r="P141">
        <v>107</v>
      </c>
      <c r="Q141">
        <v>55</v>
      </c>
    </row>
    <row r="142" spans="1:17" x14ac:dyDescent="0.35">
      <c r="A142" t="s">
        <v>250</v>
      </c>
      <c r="B142" s="1" t="s">
        <v>127</v>
      </c>
      <c r="C142" s="1">
        <v>2013</v>
      </c>
      <c r="D142" s="1">
        <v>2024</v>
      </c>
      <c r="E142">
        <v>64</v>
      </c>
      <c r="F142">
        <v>54</v>
      </c>
      <c r="G142">
        <v>17</v>
      </c>
      <c r="H142">
        <v>1291</v>
      </c>
      <c r="I142" s="1" t="s">
        <v>114</v>
      </c>
      <c r="J142">
        <v>34.89</v>
      </c>
      <c r="K142">
        <v>1287</v>
      </c>
      <c r="L142">
        <v>100.31</v>
      </c>
      <c r="M142">
        <v>0</v>
      </c>
      <c r="N142">
        <v>8</v>
      </c>
      <c r="O142">
        <v>2</v>
      </c>
      <c r="P142">
        <v>113</v>
      </c>
      <c r="Q142">
        <v>15</v>
      </c>
    </row>
    <row r="143" spans="1:17" x14ac:dyDescent="0.35">
      <c r="A143" t="s">
        <v>252</v>
      </c>
      <c r="B143" s="1" t="s">
        <v>92</v>
      </c>
      <c r="C143" s="1">
        <v>2021</v>
      </c>
      <c r="D143" s="1">
        <v>2025</v>
      </c>
      <c r="E143">
        <v>52</v>
      </c>
      <c r="F143">
        <v>52</v>
      </c>
      <c r="G143">
        <v>1</v>
      </c>
      <c r="H143">
        <v>1285</v>
      </c>
      <c r="I143" s="1" t="s">
        <v>253</v>
      </c>
      <c r="J143">
        <v>25.19</v>
      </c>
      <c r="K143">
        <v>787</v>
      </c>
      <c r="L143">
        <v>163.27000000000001</v>
      </c>
      <c r="M143">
        <v>2</v>
      </c>
      <c r="N143">
        <v>5</v>
      </c>
      <c r="O143">
        <v>5</v>
      </c>
      <c r="P143">
        <v>113</v>
      </c>
      <c r="Q143">
        <v>89</v>
      </c>
    </row>
    <row r="144" spans="1:17" x14ac:dyDescent="0.35">
      <c r="A144" t="s">
        <v>450</v>
      </c>
      <c r="B144" s="1" t="s">
        <v>451</v>
      </c>
      <c r="C144" s="1">
        <v>2019</v>
      </c>
      <c r="D144" s="1">
        <v>2025</v>
      </c>
      <c r="E144">
        <v>46</v>
      </c>
      <c r="F144">
        <v>45</v>
      </c>
      <c r="G144">
        <v>10</v>
      </c>
      <c r="H144">
        <v>1283</v>
      </c>
      <c r="I144" s="1" t="s">
        <v>282</v>
      </c>
      <c r="J144">
        <v>36.65</v>
      </c>
      <c r="K144">
        <v>1130</v>
      </c>
      <c r="L144">
        <v>113.53</v>
      </c>
      <c r="M144">
        <v>0</v>
      </c>
      <c r="N144">
        <v>9</v>
      </c>
      <c r="O144">
        <v>0</v>
      </c>
      <c r="P144">
        <v>109</v>
      </c>
      <c r="Q144">
        <v>18</v>
      </c>
    </row>
    <row r="145" spans="1:17" x14ac:dyDescent="0.35">
      <c r="A145" t="s">
        <v>254</v>
      </c>
      <c r="B145" s="1" t="s">
        <v>97</v>
      </c>
      <c r="C145" s="1">
        <v>2009</v>
      </c>
      <c r="D145" s="1">
        <v>2018</v>
      </c>
      <c r="E145">
        <v>44</v>
      </c>
      <c r="F145">
        <v>44</v>
      </c>
      <c r="G145">
        <v>6</v>
      </c>
      <c r="H145">
        <v>1277</v>
      </c>
      <c r="I145" s="1" t="s">
        <v>174</v>
      </c>
      <c r="J145">
        <v>33.6</v>
      </c>
      <c r="K145">
        <v>967</v>
      </c>
      <c r="L145">
        <v>132.05000000000001</v>
      </c>
      <c r="M145">
        <v>0</v>
      </c>
      <c r="N145">
        <v>8</v>
      </c>
      <c r="O145">
        <v>2</v>
      </c>
      <c r="P145">
        <v>146</v>
      </c>
      <c r="Q145">
        <v>26</v>
      </c>
    </row>
    <row r="146" spans="1:17" x14ac:dyDescent="0.35">
      <c r="A146" t="s">
        <v>395</v>
      </c>
      <c r="B146" s="1" t="s">
        <v>105</v>
      </c>
      <c r="C146" s="1">
        <v>2022</v>
      </c>
      <c r="D146" s="1">
        <v>2025</v>
      </c>
      <c r="E146">
        <v>65</v>
      </c>
      <c r="F146">
        <v>56</v>
      </c>
      <c r="G146">
        <v>11</v>
      </c>
      <c r="H146">
        <v>1276</v>
      </c>
      <c r="I146" s="1" t="s">
        <v>69</v>
      </c>
      <c r="J146">
        <v>28.35</v>
      </c>
      <c r="K146">
        <v>914</v>
      </c>
      <c r="L146">
        <v>139.6</v>
      </c>
      <c r="M146">
        <v>1</v>
      </c>
      <c r="N146">
        <v>6</v>
      </c>
      <c r="O146">
        <v>2</v>
      </c>
      <c r="P146">
        <v>131</v>
      </c>
      <c r="Q146">
        <v>49</v>
      </c>
    </row>
    <row r="147" spans="1:17" x14ac:dyDescent="0.35">
      <c r="A147" t="s">
        <v>257</v>
      </c>
      <c r="B147" s="1" t="s">
        <v>91</v>
      </c>
      <c r="C147" s="1">
        <v>2008</v>
      </c>
      <c r="D147" s="1">
        <v>2020</v>
      </c>
      <c r="E147">
        <v>81</v>
      </c>
      <c r="F147">
        <v>68</v>
      </c>
      <c r="G147">
        <v>8</v>
      </c>
      <c r="H147">
        <v>1268</v>
      </c>
      <c r="I147" s="1" t="s">
        <v>259</v>
      </c>
      <c r="J147">
        <v>21.13</v>
      </c>
      <c r="K147">
        <v>1212</v>
      </c>
      <c r="L147">
        <v>104.62</v>
      </c>
      <c r="M147">
        <v>0</v>
      </c>
      <c r="N147">
        <v>3</v>
      </c>
      <c r="O147">
        <v>4</v>
      </c>
      <c r="P147">
        <v>108</v>
      </c>
      <c r="Q147">
        <v>20</v>
      </c>
    </row>
    <row r="148" spans="1:17" x14ac:dyDescent="0.35">
      <c r="A148" t="s">
        <v>278</v>
      </c>
      <c r="B148" s="1" t="s">
        <v>100</v>
      </c>
      <c r="C148" s="1">
        <v>2020</v>
      </c>
      <c r="D148" s="1">
        <v>2025</v>
      </c>
      <c r="E148">
        <v>79</v>
      </c>
      <c r="F148">
        <v>74</v>
      </c>
      <c r="G148">
        <v>8</v>
      </c>
      <c r="H148">
        <v>1256</v>
      </c>
      <c r="I148" s="1" t="s">
        <v>229</v>
      </c>
      <c r="J148">
        <v>19.03</v>
      </c>
      <c r="K148">
        <v>1096</v>
      </c>
      <c r="L148">
        <v>114.59</v>
      </c>
      <c r="M148">
        <v>0</v>
      </c>
      <c r="N148">
        <v>7</v>
      </c>
      <c r="O148">
        <v>7</v>
      </c>
      <c r="P148">
        <v>139</v>
      </c>
      <c r="Q148">
        <v>16</v>
      </c>
    </row>
    <row r="149" spans="1:17" x14ac:dyDescent="0.35">
      <c r="A149" t="s">
        <v>264</v>
      </c>
      <c r="B149" s="1" t="s">
        <v>101</v>
      </c>
      <c r="C149" s="1">
        <v>2006</v>
      </c>
      <c r="D149" s="1">
        <v>2021</v>
      </c>
      <c r="E149">
        <v>91</v>
      </c>
      <c r="F149">
        <v>74</v>
      </c>
      <c r="G149">
        <v>17</v>
      </c>
      <c r="H149">
        <v>1255</v>
      </c>
      <c r="I149" s="1" t="s">
        <v>245</v>
      </c>
      <c r="J149">
        <v>22.01</v>
      </c>
      <c r="K149">
        <v>1091</v>
      </c>
      <c r="L149">
        <v>115.03</v>
      </c>
      <c r="M149">
        <v>0</v>
      </c>
      <c r="N149">
        <v>4</v>
      </c>
      <c r="O149">
        <v>5</v>
      </c>
      <c r="P149">
        <v>73</v>
      </c>
      <c r="Q149">
        <v>55</v>
      </c>
    </row>
    <row r="150" spans="1:17" x14ac:dyDescent="0.35">
      <c r="A150" t="s">
        <v>582</v>
      </c>
      <c r="B150" s="1" t="s">
        <v>225</v>
      </c>
      <c r="C150" s="1">
        <v>2021</v>
      </c>
      <c r="D150" s="1">
        <v>2025</v>
      </c>
      <c r="E150">
        <v>53</v>
      </c>
      <c r="F150">
        <v>51</v>
      </c>
      <c r="G150">
        <v>6</v>
      </c>
      <c r="H150">
        <v>1245</v>
      </c>
      <c r="I150" s="1" t="s">
        <v>271</v>
      </c>
      <c r="J150">
        <v>27.66</v>
      </c>
      <c r="K150">
        <v>1095</v>
      </c>
      <c r="L150">
        <v>113.69</v>
      </c>
      <c r="M150">
        <v>0</v>
      </c>
      <c r="N150">
        <v>7</v>
      </c>
      <c r="O150">
        <v>2</v>
      </c>
      <c r="P150">
        <v>127</v>
      </c>
      <c r="Q150">
        <v>32</v>
      </c>
    </row>
    <row r="151" spans="1:17" x14ac:dyDescent="0.35">
      <c r="A151" t="s">
        <v>268</v>
      </c>
      <c r="B151" s="1" t="s">
        <v>106</v>
      </c>
      <c r="C151" s="1">
        <v>2013</v>
      </c>
      <c r="D151" s="1">
        <v>2021</v>
      </c>
      <c r="E151">
        <v>58</v>
      </c>
      <c r="F151">
        <v>55</v>
      </c>
      <c r="G151">
        <v>11</v>
      </c>
      <c r="H151">
        <v>1239</v>
      </c>
      <c r="I151" s="1" t="s">
        <v>184</v>
      </c>
      <c r="J151">
        <v>28.15</v>
      </c>
      <c r="K151">
        <v>993</v>
      </c>
      <c r="L151">
        <v>124.77</v>
      </c>
      <c r="M151">
        <v>0</v>
      </c>
      <c r="N151">
        <v>9</v>
      </c>
      <c r="O151">
        <v>7</v>
      </c>
      <c r="P151">
        <v>118</v>
      </c>
      <c r="Q151">
        <v>38</v>
      </c>
    </row>
    <row r="152" spans="1:17" x14ac:dyDescent="0.35">
      <c r="A152" t="s">
        <v>270</v>
      </c>
      <c r="B152" s="1" t="s">
        <v>102</v>
      </c>
      <c r="C152" s="1">
        <v>2009</v>
      </c>
      <c r="D152" s="1">
        <v>2022</v>
      </c>
      <c r="E152">
        <v>64</v>
      </c>
      <c r="F152">
        <v>61</v>
      </c>
      <c r="G152">
        <v>9</v>
      </c>
      <c r="H152">
        <v>1238</v>
      </c>
      <c r="I152" s="1" t="s">
        <v>271</v>
      </c>
      <c r="J152">
        <v>23.8</v>
      </c>
      <c r="K152">
        <v>1115</v>
      </c>
      <c r="L152">
        <v>111.03</v>
      </c>
      <c r="M152">
        <v>0</v>
      </c>
      <c r="N152">
        <v>7</v>
      </c>
      <c r="O152">
        <v>8</v>
      </c>
      <c r="P152">
        <v>107</v>
      </c>
      <c r="Q152">
        <v>23</v>
      </c>
    </row>
    <row r="153" spans="1:17" x14ac:dyDescent="0.35">
      <c r="A153" t="s">
        <v>291</v>
      </c>
      <c r="B153" s="1" t="s">
        <v>91</v>
      </c>
      <c r="C153" s="1">
        <v>2010</v>
      </c>
      <c r="D153" s="1">
        <v>2025</v>
      </c>
      <c r="E153">
        <v>148</v>
      </c>
      <c r="F153">
        <v>98</v>
      </c>
      <c r="G153">
        <v>37</v>
      </c>
      <c r="H153">
        <v>1230</v>
      </c>
      <c r="I153" s="1" t="s">
        <v>293</v>
      </c>
      <c r="J153">
        <v>20.16</v>
      </c>
      <c r="K153">
        <v>939</v>
      </c>
      <c r="L153">
        <v>130.99</v>
      </c>
      <c r="M153">
        <v>0</v>
      </c>
      <c r="N153">
        <v>2</v>
      </c>
      <c r="O153">
        <v>8</v>
      </c>
      <c r="P153">
        <v>91</v>
      </c>
      <c r="Q153">
        <v>44</v>
      </c>
    </row>
    <row r="154" spans="1:17" x14ac:dyDescent="0.35">
      <c r="A154" t="s">
        <v>272</v>
      </c>
      <c r="B154" s="1" t="s">
        <v>90</v>
      </c>
      <c r="C154" s="1">
        <v>2014</v>
      </c>
      <c r="D154" s="1">
        <v>2024</v>
      </c>
      <c r="E154">
        <v>92</v>
      </c>
      <c r="F154">
        <v>75</v>
      </c>
      <c r="G154">
        <v>17</v>
      </c>
      <c r="H154">
        <v>1229</v>
      </c>
      <c r="I154" s="1" t="s">
        <v>190</v>
      </c>
      <c r="J154">
        <v>21.18</v>
      </c>
      <c r="K154">
        <v>863</v>
      </c>
      <c r="L154">
        <v>142.41</v>
      </c>
      <c r="M154">
        <v>0</v>
      </c>
      <c r="N154">
        <v>7</v>
      </c>
      <c r="O154">
        <v>9</v>
      </c>
      <c r="P154">
        <v>88</v>
      </c>
      <c r="Q154">
        <v>68</v>
      </c>
    </row>
    <row r="155" spans="1:17" x14ac:dyDescent="0.35">
      <c r="A155" t="s">
        <v>337</v>
      </c>
      <c r="B155" s="1" t="s">
        <v>338</v>
      </c>
      <c r="C155" s="1">
        <v>2019</v>
      </c>
      <c r="D155" s="1">
        <v>2025</v>
      </c>
      <c r="E155">
        <v>66</v>
      </c>
      <c r="F155">
        <v>65</v>
      </c>
      <c r="G155">
        <v>9</v>
      </c>
      <c r="H155">
        <v>1229</v>
      </c>
      <c r="I155" s="1" t="s">
        <v>282</v>
      </c>
      <c r="J155">
        <v>21.94</v>
      </c>
      <c r="K155">
        <v>1111</v>
      </c>
      <c r="L155">
        <v>110.62</v>
      </c>
      <c r="M155">
        <v>0</v>
      </c>
      <c r="N155">
        <v>8</v>
      </c>
      <c r="O155">
        <v>4</v>
      </c>
      <c r="P155">
        <v>136</v>
      </c>
      <c r="Q155">
        <v>13</v>
      </c>
    </row>
    <row r="156" spans="1:17" x14ac:dyDescent="0.35">
      <c r="A156" t="s">
        <v>341</v>
      </c>
      <c r="B156" s="1" t="s">
        <v>106</v>
      </c>
      <c r="C156" s="1">
        <v>2018</v>
      </c>
      <c r="D156" s="1">
        <v>2025</v>
      </c>
      <c r="E156">
        <v>82</v>
      </c>
      <c r="F156">
        <v>73</v>
      </c>
      <c r="G156">
        <v>19</v>
      </c>
      <c r="H156">
        <v>1226</v>
      </c>
      <c r="I156" s="1" t="s">
        <v>342</v>
      </c>
      <c r="J156">
        <v>22.7</v>
      </c>
      <c r="K156">
        <v>978</v>
      </c>
      <c r="L156">
        <v>125.35</v>
      </c>
      <c r="M156">
        <v>0</v>
      </c>
      <c r="N156">
        <v>2</v>
      </c>
      <c r="O156">
        <v>3</v>
      </c>
      <c r="P156">
        <v>97</v>
      </c>
      <c r="Q156">
        <v>29</v>
      </c>
    </row>
    <row r="157" spans="1:17" x14ac:dyDescent="0.35">
      <c r="A157" t="s">
        <v>322</v>
      </c>
      <c r="B157" s="1" t="s">
        <v>320</v>
      </c>
      <c r="C157" s="1">
        <v>2019</v>
      </c>
      <c r="D157" s="1">
        <v>2025</v>
      </c>
      <c r="E157">
        <v>56</v>
      </c>
      <c r="F157">
        <v>53</v>
      </c>
      <c r="G157">
        <v>3</v>
      </c>
      <c r="H157">
        <v>1215</v>
      </c>
      <c r="I157" s="1" t="s">
        <v>323</v>
      </c>
      <c r="J157">
        <v>24.3</v>
      </c>
      <c r="K157">
        <v>941</v>
      </c>
      <c r="L157">
        <v>129.11000000000001</v>
      </c>
      <c r="M157">
        <v>0</v>
      </c>
      <c r="N157">
        <v>5</v>
      </c>
      <c r="O157">
        <v>6</v>
      </c>
      <c r="P157">
        <v>68</v>
      </c>
      <c r="Q157">
        <v>50</v>
      </c>
    </row>
    <row r="158" spans="1:17" x14ac:dyDescent="0.35">
      <c r="A158" t="s">
        <v>308</v>
      </c>
      <c r="B158" s="1" t="s">
        <v>309</v>
      </c>
      <c r="C158" s="1">
        <v>2019</v>
      </c>
      <c r="D158" s="1">
        <v>2025</v>
      </c>
      <c r="E158">
        <v>38</v>
      </c>
      <c r="F158">
        <v>37</v>
      </c>
      <c r="G158">
        <v>3</v>
      </c>
      <c r="H158">
        <v>1210</v>
      </c>
      <c r="I158" s="1" t="s">
        <v>25</v>
      </c>
      <c r="J158">
        <v>35.58</v>
      </c>
      <c r="K158">
        <v>885</v>
      </c>
      <c r="L158">
        <v>136.72</v>
      </c>
      <c r="M158">
        <v>3</v>
      </c>
      <c r="N158">
        <v>6</v>
      </c>
      <c r="O158">
        <v>2</v>
      </c>
      <c r="P158">
        <v>132</v>
      </c>
      <c r="Q158">
        <v>41</v>
      </c>
    </row>
    <row r="159" spans="1:17" x14ac:dyDescent="0.35">
      <c r="A159" t="s">
        <v>276</v>
      </c>
      <c r="B159" s="1" t="s">
        <v>88</v>
      </c>
      <c r="C159" s="1">
        <v>2017</v>
      </c>
      <c r="D159" s="1">
        <v>2024</v>
      </c>
      <c r="E159">
        <v>76</v>
      </c>
      <c r="F159">
        <v>66</v>
      </c>
      <c r="G159">
        <v>14</v>
      </c>
      <c r="H159">
        <v>1209</v>
      </c>
      <c r="I159" s="1" t="s">
        <v>259</v>
      </c>
      <c r="J159">
        <v>23.25</v>
      </c>
      <c r="K159">
        <v>950</v>
      </c>
      <c r="L159">
        <v>127.26</v>
      </c>
      <c r="M159">
        <v>0</v>
      </c>
      <c r="N159">
        <v>3</v>
      </c>
      <c r="O159">
        <v>4</v>
      </c>
      <c r="P159">
        <v>111</v>
      </c>
      <c r="Q159">
        <v>44</v>
      </c>
    </row>
    <row r="160" spans="1:17" x14ac:dyDescent="0.35">
      <c r="A160" t="s">
        <v>279</v>
      </c>
      <c r="B160" s="1" t="s">
        <v>108</v>
      </c>
      <c r="C160" s="1">
        <v>2010</v>
      </c>
      <c r="D160" s="1">
        <v>2021</v>
      </c>
      <c r="E160">
        <v>84</v>
      </c>
      <c r="F160">
        <v>74</v>
      </c>
      <c r="G160">
        <v>22</v>
      </c>
      <c r="H160">
        <v>1204</v>
      </c>
      <c r="I160" s="1" t="s">
        <v>210</v>
      </c>
      <c r="J160">
        <v>23.15</v>
      </c>
      <c r="K160">
        <v>794</v>
      </c>
      <c r="L160">
        <v>151.63</v>
      </c>
      <c r="M160">
        <v>0</v>
      </c>
      <c r="N160">
        <v>3</v>
      </c>
      <c r="O160">
        <v>8</v>
      </c>
      <c r="P160">
        <v>88</v>
      </c>
      <c r="Q160">
        <v>64</v>
      </c>
    </row>
    <row r="161" spans="1:17" x14ac:dyDescent="0.35">
      <c r="A161" t="s">
        <v>281</v>
      </c>
      <c r="B161" s="1" t="s">
        <v>93</v>
      </c>
      <c r="C161" s="1">
        <v>2011</v>
      </c>
      <c r="D161" s="1">
        <v>2024</v>
      </c>
      <c r="E161">
        <v>92</v>
      </c>
      <c r="F161">
        <v>68</v>
      </c>
      <c r="G161">
        <v>22</v>
      </c>
      <c r="H161">
        <v>1202</v>
      </c>
      <c r="I161" s="1" t="s">
        <v>282</v>
      </c>
      <c r="J161">
        <v>26.13</v>
      </c>
      <c r="K161">
        <v>896</v>
      </c>
      <c r="L161">
        <v>134.15</v>
      </c>
      <c r="M161">
        <v>0</v>
      </c>
      <c r="N161">
        <v>3</v>
      </c>
      <c r="O161">
        <v>1</v>
      </c>
      <c r="P161">
        <v>95</v>
      </c>
      <c r="Q161">
        <v>46</v>
      </c>
    </row>
    <row r="162" spans="1:17" x14ac:dyDescent="0.35">
      <c r="A162" t="s">
        <v>285</v>
      </c>
      <c r="B162" s="1" t="s">
        <v>286</v>
      </c>
      <c r="C162" s="1">
        <v>2019</v>
      </c>
      <c r="D162" s="1">
        <v>2025</v>
      </c>
      <c r="E162">
        <v>45</v>
      </c>
      <c r="F162">
        <v>43</v>
      </c>
      <c r="G162">
        <v>6</v>
      </c>
      <c r="H162">
        <v>1197</v>
      </c>
      <c r="I162" s="1" t="s">
        <v>287</v>
      </c>
      <c r="J162">
        <v>32.35</v>
      </c>
      <c r="K162">
        <v>926</v>
      </c>
      <c r="L162">
        <v>129.26</v>
      </c>
      <c r="M162">
        <v>0</v>
      </c>
      <c r="N162">
        <v>9</v>
      </c>
      <c r="O162">
        <v>2</v>
      </c>
      <c r="P162">
        <v>96</v>
      </c>
      <c r="Q162">
        <v>54</v>
      </c>
    </row>
    <row r="163" spans="1:17" x14ac:dyDescent="0.35">
      <c r="A163" t="s">
        <v>326</v>
      </c>
      <c r="B163" s="1" t="s">
        <v>93</v>
      </c>
      <c r="C163" s="1">
        <v>2016</v>
      </c>
      <c r="D163" s="1">
        <v>2025</v>
      </c>
      <c r="E163">
        <v>47</v>
      </c>
      <c r="F163">
        <v>45</v>
      </c>
      <c r="G163">
        <v>4</v>
      </c>
      <c r="H163">
        <v>1197</v>
      </c>
      <c r="I163" s="1" t="s">
        <v>49</v>
      </c>
      <c r="J163">
        <v>29.19</v>
      </c>
      <c r="K163">
        <v>764</v>
      </c>
      <c r="L163">
        <v>156.66999999999999</v>
      </c>
      <c r="M163">
        <v>0</v>
      </c>
      <c r="N163">
        <v>5</v>
      </c>
      <c r="O163">
        <v>2</v>
      </c>
      <c r="P163">
        <v>129</v>
      </c>
      <c r="Q163">
        <v>55</v>
      </c>
    </row>
    <row r="164" spans="1:17" x14ac:dyDescent="0.35">
      <c r="A164" t="s">
        <v>295</v>
      </c>
      <c r="B164" s="1" t="s">
        <v>94</v>
      </c>
      <c r="C164" s="1">
        <v>2019</v>
      </c>
      <c r="D164" s="1">
        <v>2025</v>
      </c>
      <c r="E164">
        <v>64</v>
      </c>
      <c r="F164">
        <v>63</v>
      </c>
      <c r="G164">
        <v>3</v>
      </c>
      <c r="H164">
        <v>1191</v>
      </c>
      <c r="I164" s="1" t="s">
        <v>296</v>
      </c>
      <c r="J164">
        <v>19.850000000000001</v>
      </c>
      <c r="K164">
        <v>833</v>
      </c>
      <c r="L164">
        <v>142.97</v>
      </c>
      <c r="M164">
        <v>0</v>
      </c>
      <c r="N164">
        <v>4</v>
      </c>
      <c r="O164">
        <v>11</v>
      </c>
      <c r="P164">
        <v>120</v>
      </c>
      <c r="Q164">
        <v>56</v>
      </c>
    </row>
    <row r="165" spans="1:17" x14ac:dyDescent="0.35">
      <c r="A165" t="s">
        <v>384</v>
      </c>
      <c r="B165" s="1" t="s">
        <v>164</v>
      </c>
      <c r="C165" s="1">
        <v>2019</v>
      </c>
      <c r="D165" s="1">
        <v>2025</v>
      </c>
      <c r="E165">
        <v>67</v>
      </c>
      <c r="F165">
        <v>57</v>
      </c>
      <c r="G165">
        <v>22</v>
      </c>
      <c r="H165">
        <v>1189</v>
      </c>
      <c r="I165" s="1" t="s">
        <v>200</v>
      </c>
      <c r="J165">
        <v>33.97</v>
      </c>
      <c r="K165">
        <v>804</v>
      </c>
      <c r="L165">
        <v>147.88</v>
      </c>
      <c r="M165">
        <v>1</v>
      </c>
      <c r="N165">
        <v>4</v>
      </c>
      <c r="O165">
        <v>2</v>
      </c>
      <c r="P165">
        <v>72</v>
      </c>
      <c r="Q165">
        <v>73</v>
      </c>
    </row>
    <row r="166" spans="1:17" x14ac:dyDescent="0.35">
      <c r="A166" t="s">
        <v>297</v>
      </c>
      <c r="B166" s="1" t="s">
        <v>104</v>
      </c>
      <c r="C166" s="1">
        <v>2019</v>
      </c>
      <c r="D166" s="1">
        <v>2024</v>
      </c>
      <c r="E166">
        <v>58</v>
      </c>
      <c r="F166">
        <v>56</v>
      </c>
      <c r="G166">
        <v>5</v>
      </c>
      <c r="H166">
        <v>1186</v>
      </c>
      <c r="I166" s="1" t="s">
        <v>60</v>
      </c>
      <c r="J166">
        <v>23.25</v>
      </c>
      <c r="K166">
        <v>982</v>
      </c>
      <c r="L166">
        <v>120.77</v>
      </c>
      <c r="M166">
        <v>0</v>
      </c>
      <c r="N166">
        <v>5</v>
      </c>
      <c r="O166">
        <v>8</v>
      </c>
      <c r="P166">
        <v>133</v>
      </c>
      <c r="Q166">
        <v>36</v>
      </c>
    </row>
    <row r="167" spans="1:17" x14ac:dyDescent="0.35">
      <c r="A167" t="s">
        <v>405</v>
      </c>
      <c r="B167" s="1" t="s">
        <v>100</v>
      </c>
      <c r="C167" s="1">
        <v>2006</v>
      </c>
      <c r="D167" s="1">
        <v>2025</v>
      </c>
      <c r="E167">
        <v>58</v>
      </c>
      <c r="F167">
        <v>56</v>
      </c>
      <c r="G167">
        <v>6</v>
      </c>
      <c r="H167">
        <v>1185</v>
      </c>
      <c r="I167" s="1" t="s">
        <v>67</v>
      </c>
      <c r="J167">
        <v>23.7</v>
      </c>
      <c r="K167">
        <v>964</v>
      </c>
      <c r="L167">
        <v>122.92</v>
      </c>
      <c r="M167">
        <v>1</v>
      </c>
      <c r="N167">
        <v>6</v>
      </c>
      <c r="O167">
        <v>6</v>
      </c>
      <c r="P167">
        <v>122</v>
      </c>
      <c r="Q167">
        <v>30</v>
      </c>
    </row>
    <row r="168" spans="1:17" x14ac:dyDescent="0.35">
      <c r="A168" t="s">
        <v>476</v>
      </c>
      <c r="B168" s="1" t="s">
        <v>98</v>
      </c>
      <c r="C168" s="1">
        <v>2023</v>
      </c>
      <c r="D168" s="1">
        <v>2025</v>
      </c>
      <c r="E168">
        <v>56</v>
      </c>
      <c r="F168">
        <v>51</v>
      </c>
      <c r="G168">
        <v>8</v>
      </c>
      <c r="H168">
        <v>1177</v>
      </c>
      <c r="I168" s="1" t="s">
        <v>649</v>
      </c>
      <c r="J168">
        <v>27.37</v>
      </c>
      <c r="K168">
        <v>953</v>
      </c>
      <c r="L168">
        <v>123.5</v>
      </c>
      <c r="M168">
        <v>0</v>
      </c>
      <c r="N168">
        <v>5</v>
      </c>
      <c r="O168">
        <v>3</v>
      </c>
      <c r="P168">
        <v>76</v>
      </c>
      <c r="Q168">
        <v>43</v>
      </c>
    </row>
    <row r="169" spans="1:17" x14ac:dyDescent="0.35">
      <c r="A169" t="s">
        <v>299</v>
      </c>
      <c r="B169" s="1" t="s">
        <v>88</v>
      </c>
      <c r="C169" s="1">
        <v>2007</v>
      </c>
      <c r="D169" s="1">
        <v>2017</v>
      </c>
      <c r="E169">
        <v>58</v>
      </c>
      <c r="F169">
        <v>51</v>
      </c>
      <c r="G169">
        <v>9</v>
      </c>
      <c r="H169">
        <v>1177</v>
      </c>
      <c r="I169" s="1" t="s">
        <v>301</v>
      </c>
      <c r="J169">
        <v>28.02</v>
      </c>
      <c r="K169">
        <v>863</v>
      </c>
      <c r="L169">
        <v>136.38</v>
      </c>
      <c r="M169">
        <v>0</v>
      </c>
      <c r="N169">
        <v>8</v>
      </c>
      <c r="O169">
        <v>1</v>
      </c>
      <c r="P169">
        <v>77</v>
      </c>
      <c r="Q169">
        <v>74</v>
      </c>
    </row>
    <row r="170" spans="1:17" x14ac:dyDescent="0.35">
      <c r="A170" t="s">
        <v>302</v>
      </c>
      <c r="B170" s="1" t="s">
        <v>90</v>
      </c>
      <c r="C170" s="1">
        <v>2005</v>
      </c>
      <c r="D170" s="1">
        <v>2013</v>
      </c>
      <c r="E170">
        <v>37</v>
      </c>
      <c r="F170">
        <v>36</v>
      </c>
      <c r="G170">
        <v>5</v>
      </c>
      <c r="H170">
        <v>1176</v>
      </c>
      <c r="I170" s="1" t="s">
        <v>263</v>
      </c>
      <c r="J170">
        <v>37.93</v>
      </c>
      <c r="K170">
        <v>831</v>
      </c>
      <c r="L170">
        <v>141.51</v>
      </c>
      <c r="M170">
        <v>0</v>
      </c>
      <c r="N170">
        <v>7</v>
      </c>
      <c r="O170">
        <v>1</v>
      </c>
      <c r="P170">
        <v>119</v>
      </c>
      <c r="Q170">
        <v>32</v>
      </c>
    </row>
    <row r="171" spans="1:17" x14ac:dyDescent="0.35">
      <c r="A171" t="s">
        <v>304</v>
      </c>
      <c r="B171" s="1" t="s">
        <v>305</v>
      </c>
      <c r="C171" s="1">
        <v>2019</v>
      </c>
      <c r="D171" s="1">
        <v>2025</v>
      </c>
      <c r="E171">
        <v>41</v>
      </c>
      <c r="F171">
        <v>39</v>
      </c>
      <c r="G171">
        <v>7</v>
      </c>
      <c r="H171">
        <v>1169</v>
      </c>
      <c r="I171" s="1" t="s">
        <v>49</v>
      </c>
      <c r="J171">
        <v>36.53</v>
      </c>
      <c r="K171">
        <v>803</v>
      </c>
      <c r="L171">
        <v>145.57</v>
      </c>
      <c r="M171">
        <v>0</v>
      </c>
      <c r="N171">
        <v>9</v>
      </c>
      <c r="O171">
        <v>2</v>
      </c>
      <c r="P171">
        <v>80</v>
      </c>
      <c r="Q171">
        <v>75</v>
      </c>
    </row>
    <row r="172" spans="1:17" x14ac:dyDescent="0.35">
      <c r="A172" t="s">
        <v>324</v>
      </c>
      <c r="B172" s="1" t="s">
        <v>247</v>
      </c>
      <c r="C172" s="1">
        <v>2022</v>
      </c>
      <c r="D172" s="1">
        <v>2025</v>
      </c>
      <c r="E172">
        <v>82</v>
      </c>
      <c r="F172">
        <v>74</v>
      </c>
      <c r="G172">
        <v>8</v>
      </c>
      <c r="H172">
        <v>1167</v>
      </c>
      <c r="I172" s="1" t="s">
        <v>158</v>
      </c>
      <c r="J172">
        <v>17.68</v>
      </c>
      <c r="K172">
        <v>1231</v>
      </c>
      <c r="L172">
        <v>94.8</v>
      </c>
      <c r="M172">
        <v>0</v>
      </c>
      <c r="N172">
        <v>6</v>
      </c>
      <c r="O172">
        <v>10</v>
      </c>
      <c r="P172">
        <v>119</v>
      </c>
      <c r="Q172">
        <v>23</v>
      </c>
    </row>
    <row r="173" spans="1:17" x14ac:dyDescent="0.35">
      <c r="A173" t="s">
        <v>370</v>
      </c>
      <c r="B173" s="1" t="s">
        <v>371</v>
      </c>
      <c r="C173" s="1">
        <v>2019</v>
      </c>
      <c r="D173" s="1">
        <v>2025</v>
      </c>
      <c r="E173">
        <v>56</v>
      </c>
      <c r="F173">
        <v>51</v>
      </c>
      <c r="G173">
        <v>10</v>
      </c>
      <c r="H173">
        <v>1163</v>
      </c>
      <c r="I173" s="1" t="s">
        <v>31</v>
      </c>
      <c r="J173">
        <v>28.36</v>
      </c>
      <c r="K173">
        <v>688</v>
      </c>
      <c r="L173">
        <v>169.04</v>
      </c>
      <c r="M173">
        <v>1</v>
      </c>
      <c r="N173">
        <v>3</v>
      </c>
      <c r="O173">
        <v>4</v>
      </c>
      <c r="P173">
        <v>62</v>
      </c>
      <c r="Q173">
        <v>98</v>
      </c>
    </row>
    <row r="174" spans="1:17" x14ac:dyDescent="0.35">
      <c r="A174" t="s">
        <v>306</v>
      </c>
      <c r="B174" s="1" t="s">
        <v>103</v>
      </c>
      <c r="C174" s="1">
        <v>2016</v>
      </c>
      <c r="D174" s="1">
        <v>2024</v>
      </c>
      <c r="E174">
        <v>45</v>
      </c>
      <c r="F174">
        <v>45</v>
      </c>
      <c r="G174">
        <v>3</v>
      </c>
      <c r="H174">
        <v>1160</v>
      </c>
      <c r="I174" s="1" t="s">
        <v>307</v>
      </c>
      <c r="J174">
        <v>27.61</v>
      </c>
      <c r="K174">
        <v>874</v>
      </c>
      <c r="L174">
        <v>132.72</v>
      </c>
      <c r="M174">
        <v>1</v>
      </c>
      <c r="N174">
        <v>3</v>
      </c>
      <c r="O174">
        <v>3</v>
      </c>
      <c r="P174">
        <v>110</v>
      </c>
      <c r="Q174">
        <v>66</v>
      </c>
    </row>
    <row r="175" spans="1:17" x14ac:dyDescent="0.35">
      <c r="A175" t="s">
        <v>354</v>
      </c>
      <c r="B175" s="1" t="s">
        <v>117</v>
      </c>
      <c r="C175" s="1">
        <v>2020</v>
      </c>
      <c r="D175" s="1">
        <v>2025</v>
      </c>
      <c r="E175">
        <v>52</v>
      </c>
      <c r="F175">
        <v>49</v>
      </c>
      <c r="G175">
        <v>4</v>
      </c>
      <c r="H175">
        <v>1154</v>
      </c>
      <c r="I175" s="1" t="s">
        <v>79</v>
      </c>
      <c r="J175">
        <v>25.64</v>
      </c>
      <c r="K175">
        <v>983</v>
      </c>
      <c r="L175">
        <v>117.39</v>
      </c>
      <c r="M175">
        <v>0</v>
      </c>
      <c r="N175">
        <v>8</v>
      </c>
      <c r="O175">
        <v>6</v>
      </c>
      <c r="P175">
        <v>120</v>
      </c>
      <c r="Q175">
        <v>35</v>
      </c>
    </row>
    <row r="176" spans="1:17" x14ac:dyDescent="0.35">
      <c r="A176" t="s">
        <v>420</v>
      </c>
      <c r="B176" s="1" t="s">
        <v>371</v>
      </c>
      <c r="C176" s="1">
        <v>2019</v>
      </c>
      <c r="D176" s="1">
        <v>2025</v>
      </c>
      <c r="E176">
        <v>51</v>
      </c>
      <c r="F176">
        <v>48</v>
      </c>
      <c r="G176">
        <v>10</v>
      </c>
      <c r="H176">
        <v>1153</v>
      </c>
      <c r="I176" s="1" t="s">
        <v>116</v>
      </c>
      <c r="J176">
        <v>30.34</v>
      </c>
      <c r="K176">
        <v>841</v>
      </c>
      <c r="L176">
        <v>137.09</v>
      </c>
      <c r="M176">
        <v>1</v>
      </c>
      <c r="N176">
        <v>3</v>
      </c>
      <c r="O176">
        <v>2</v>
      </c>
      <c r="P176">
        <v>88</v>
      </c>
      <c r="Q176">
        <v>69</v>
      </c>
    </row>
    <row r="177" spans="1:17" x14ac:dyDescent="0.35">
      <c r="A177" t="s">
        <v>577</v>
      </c>
      <c r="B177" s="1" t="s">
        <v>100</v>
      </c>
      <c r="C177" s="1">
        <v>2021</v>
      </c>
      <c r="D177" s="1">
        <v>2025</v>
      </c>
      <c r="E177">
        <v>61</v>
      </c>
      <c r="F177">
        <v>61</v>
      </c>
      <c r="G177">
        <v>3</v>
      </c>
      <c r="H177">
        <v>1145</v>
      </c>
      <c r="I177" s="1" t="s">
        <v>79</v>
      </c>
      <c r="J177">
        <v>19.739999999999998</v>
      </c>
      <c r="K177">
        <v>894</v>
      </c>
      <c r="L177">
        <v>128.07</v>
      </c>
      <c r="M177">
        <v>0</v>
      </c>
      <c r="N177">
        <v>7</v>
      </c>
      <c r="O177">
        <v>5</v>
      </c>
      <c r="P177">
        <v>119</v>
      </c>
      <c r="Q177">
        <v>40</v>
      </c>
    </row>
    <row r="178" spans="1:17" x14ac:dyDescent="0.35">
      <c r="A178" t="s">
        <v>355</v>
      </c>
      <c r="B178" s="1" t="s">
        <v>104</v>
      </c>
      <c r="C178" s="1">
        <v>2019</v>
      </c>
      <c r="D178" s="1">
        <v>2025</v>
      </c>
      <c r="E178">
        <v>82</v>
      </c>
      <c r="F178">
        <v>70</v>
      </c>
      <c r="G178">
        <v>25</v>
      </c>
      <c r="H178">
        <v>1144</v>
      </c>
      <c r="I178" s="1" t="s">
        <v>301</v>
      </c>
      <c r="J178">
        <v>25.42</v>
      </c>
      <c r="K178">
        <v>915</v>
      </c>
      <c r="L178">
        <v>125.02</v>
      </c>
      <c r="M178">
        <v>0</v>
      </c>
      <c r="N178">
        <v>3</v>
      </c>
      <c r="O178">
        <v>3</v>
      </c>
      <c r="P178">
        <v>70</v>
      </c>
      <c r="Q178">
        <v>68</v>
      </c>
    </row>
    <row r="179" spans="1:17" x14ac:dyDescent="0.35">
      <c r="A179" t="s">
        <v>400</v>
      </c>
      <c r="B179" s="1" t="s">
        <v>225</v>
      </c>
      <c r="C179" s="1">
        <v>2022</v>
      </c>
      <c r="D179" s="1">
        <v>2025</v>
      </c>
      <c r="E179">
        <v>79</v>
      </c>
      <c r="F179">
        <v>61</v>
      </c>
      <c r="G179">
        <v>17</v>
      </c>
      <c r="H179">
        <v>1138</v>
      </c>
      <c r="I179" s="1" t="s">
        <v>232</v>
      </c>
      <c r="J179">
        <v>25.86</v>
      </c>
      <c r="K179">
        <v>908</v>
      </c>
      <c r="L179">
        <v>125.33</v>
      </c>
      <c r="M179">
        <v>0</v>
      </c>
      <c r="N179">
        <v>6</v>
      </c>
      <c r="O179">
        <v>1</v>
      </c>
      <c r="P179">
        <v>87</v>
      </c>
      <c r="Q179">
        <v>37</v>
      </c>
    </row>
    <row r="180" spans="1:17" x14ac:dyDescent="0.35">
      <c r="A180" t="s">
        <v>331</v>
      </c>
      <c r="B180" s="1" t="s">
        <v>91</v>
      </c>
      <c r="C180" s="1">
        <v>2019</v>
      </c>
      <c r="D180" s="1">
        <v>2025</v>
      </c>
      <c r="E180">
        <v>82</v>
      </c>
      <c r="F180">
        <v>69</v>
      </c>
      <c r="G180">
        <v>16</v>
      </c>
      <c r="H180">
        <v>1136</v>
      </c>
      <c r="I180" s="1" t="s">
        <v>158</v>
      </c>
      <c r="J180">
        <v>21.43</v>
      </c>
      <c r="K180">
        <v>843</v>
      </c>
      <c r="L180">
        <v>134.75</v>
      </c>
      <c r="M180">
        <v>0</v>
      </c>
      <c r="N180">
        <v>3</v>
      </c>
      <c r="O180">
        <v>3</v>
      </c>
      <c r="P180">
        <v>89</v>
      </c>
      <c r="Q180">
        <v>53</v>
      </c>
    </row>
    <row r="181" spans="1:17" x14ac:dyDescent="0.35">
      <c r="A181" t="s">
        <v>315</v>
      </c>
      <c r="B181" s="1" t="s">
        <v>107</v>
      </c>
      <c r="C181" s="1">
        <v>2020</v>
      </c>
      <c r="D181" s="1">
        <v>2025</v>
      </c>
      <c r="E181">
        <v>62</v>
      </c>
      <c r="F181">
        <v>59</v>
      </c>
      <c r="G181">
        <v>13</v>
      </c>
      <c r="H181">
        <v>1133</v>
      </c>
      <c r="I181" s="1" t="s">
        <v>200</v>
      </c>
      <c r="J181">
        <v>24.63</v>
      </c>
      <c r="K181">
        <v>884</v>
      </c>
      <c r="L181">
        <v>128.16</v>
      </c>
      <c r="M181">
        <v>1</v>
      </c>
      <c r="N181">
        <v>7</v>
      </c>
      <c r="O181">
        <v>6</v>
      </c>
      <c r="P181">
        <v>111</v>
      </c>
      <c r="Q181">
        <v>39</v>
      </c>
    </row>
    <row r="182" spans="1:17" x14ac:dyDescent="0.35">
      <c r="A182" t="s">
        <v>332</v>
      </c>
      <c r="B182" s="1" t="s">
        <v>101</v>
      </c>
      <c r="C182" s="1">
        <v>2011</v>
      </c>
      <c r="D182" s="1">
        <v>2025</v>
      </c>
      <c r="E182">
        <v>86</v>
      </c>
      <c r="F182">
        <v>75</v>
      </c>
      <c r="G182">
        <v>24</v>
      </c>
      <c r="H182">
        <v>1122</v>
      </c>
      <c r="I182" s="1" t="s">
        <v>323</v>
      </c>
      <c r="J182">
        <v>22</v>
      </c>
      <c r="K182">
        <v>685</v>
      </c>
      <c r="L182">
        <v>163.79</v>
      </c>
      <c r="M182">
        <v>0</v>
      </c>
      <c r="N182">
        <v>3</v>
      </c>
      <c r="O182">
        <v>9</v>
      </c>
      <c r="P182">
        <v>65</v>
      </c>
      <c r="Q182">
        <v>95</v>
      </c>
    </row>
    <row r="183" spans="1:17" x14ac:dyDescent="0.35">
      <c r="A183" t="s">
        <v>312</v>
      </c>
      <c r="B183" s="1" t="s">
        <v>98</v>
      </c>
      <c r="C183" s="1">
        <v>2018</v>
      </c>
      <c r="D183" s="1">
        <v>2024</v>
      </c>
      <c r="E183">
        <v>70</v>
      </c>
      <c r="F183">
        <v>64</v>
      </c>
      <c r="G183">
        <v>9</v>
      </c>
      <c r="H183">
        <v>1117</v>
      </c>
      <c r="I183" s="1" t="s">
        <v>301</v>
      </c>
      <c r="J183">
        <v>20.3</v>
      </c>
      <c r="K183">
        <v>938</v>
      </c>
      <c r="L183">
        <v>119.08</v>
      </c>
      <c r="M183">
        <v>0</v>
      </c>
      <c r="N183">
        <v>3</v>
      </c>
      <c r="O183">
        <v>6</v>
      </c>
      <c r="P183">
        <v>83</v>
      </c>
      <c r="Q183">
        <v>38</v>
      </c>
    </row>
    <row r="184" spans="1:17" x14ac:dyDescent="0.35">
      <c r="A184" t="s">
        <v>313</v>
      </c>
      <c r="B184" s="1" t="s">
        <v>314</v>
      </c>
      <c r="C184" s="1">
        <v>2019</v>
      </c>
      <c r="D184" s="1">
        <v>2025</v>
      </c>
      <c r="E184">
        <v>35</v>
      </c>
      <c r="F184">
        <v>34</v>
      </c>
      <c r="G184">
        <v>1</v>
      </c>
      <c r="H184">
        <v>1117</v>
      </c>
      <c r="I184" s="1" t="s">
        <v>9</v>
      </c>
      <c r="J184">
        <v>33.840000000000003</v>
      </c>
      <c r="K184">
        <v>912</v>
      </c>
      <c r="L184">
        <v>122.47</v>
      </c>
      <c r="M184">
        <v>1</v>
      </c>
      <c r="N184">
        <v>8</v>
      </c>
      <c r="O184">
        <v>2</v>
      </c>
      <c r="P184">
        <v>107</v>
      </c>
      <c r="Q184">
        <v>28</v>
      </c>
    </row>
    <row r="185" spans="1:17" x14ac:dyDescent="0.35">
      <c r="A185" t="s">
        <v>378</v>
      </c>
      <c r="B185" s="1" t="s">
        <v>101</v>
      </c>
      <c r="C185" s="1">
        <v>2018</v>
      </c>
      <c r="D185" s="1">
        <v>2025</v>
      </c>
      <c r="E185">
        <v>69</v>
      </c>
      <c r="F185">
        <v>59</v>
      </c>
      <c r="G185">
        <v>5</v>
      </c>
      <c r="H185">
        <v>1112</v>
      </c>
      <c r="I185" s="1" t="s">
        <v>219</v>
      </c>
      <c r="J185">
        <v>20.59</v>
      </c>
      <c r="K185">
        <v>882</v>
      </c>
      <c r="L185">
        <v>126.07</v>
      </c>
      <c r="M185">
        <v>0</v>
      </c>
      <c r="N185">
        <v>6</v>
      </c>
      <c r="O185">
        <v>4</v>
      </c>
      <c r="P185">
        <v>73</v>
      </c>
      <c r="Q185">
        <v>60</v>
      </c>
    </row>
    <row r="186" spans="1:17" x14ac:dyDescent="0.35">
      <c r="A186" t="s">
        <v>428</v>
      </c>
      <c r="B186" s="1" t="s">
        <v>429</v>
      </c>
      <c r="C186" s="1">
        <v>2019</v>
      </c>
      <c r="D186" s="1">
        <v>2025</v>
      </c>
      <c r="E186">
        <v>41</v>
      </c>
      <c r="F186">
        <v>39</v>
      </c>
      <c r="G186">
        <v>7</v>
      </c>
      <c r="H186">
        <v>1111</v>
      </c>
      <c r="I186" s="1" t="s">
        <v>40</v>
      </c>
      <c r="J186">
        <v>34.71</v>
      </c>
      <c r="K186">
        <v>896</v>
      </c>
      <c r="L186">
        <v>123.99</v>
      </c>
      <c r="M186">
        <v>2</v>
      </c>
      <c r="N186">
        <v>5</v>
      </c>
      <c r="O186">
        <v>3</v>
      </c>
      <c r="P186">
        <v>94</v>
      </c>
      <c r="Q186">
        <v>62</v>
      </c>
    </row>
    <row r="187" spans="1:17" x14ac:dyDescent="0.35">
      <c r="A187" t="s">
        <v>319</v>
      </c>
      <c r="B187" s="1" t="s">
        <v>320</v>
      </c>
      <c r="C187" s="1">
        <v>2019</v>
      </c>
      <c r="D187" s="1">
        <v>2025</v>
      </c>
      <c r="E187">
        <v>51</v>
      </c>
      <c r="F187">
        <v>49</v>
      </c>
      <c r="G187">
        <v>4</v>
      </c>
      <c r="H187">
        <v>1104</v>
      </c>
      <c r="I187" s="1" t="s">
        <v>9</v>
      </c>
      <c r="J187">
        <v>24.53</v>
      </c>
      <c r="K187">
        <v>925</v>
      </c>
      <c r="L187">
        <v>119.35</v>
      </c>
      <c r="M187">
        <v>1</v>
      </c>
      <c r="N187">
        <v>5</v>
      </c>
      <c r="O187">
        <v>4</v>
      </c>
      <c r="P187">
        <v>100</v>
      </c>
      <c r="Q187">
        <v>48</v>
      </c>
    </row>
    <row r="188" spans="1:17" x14ac:dyDescent="0.35">
      <c r="A188" t="s">
        <v>321</v>
      </c>
      <c r="B188" s="1" t="s">
        <v>88</v>
      </c>
      <c r="C188" s="1">
        <v>2017</v>
      </c>
      <c r="D188" s="1">
        <v>2023</v>
      </c>
      <c r="E188">
        <v>51</v>
      </c>
      <c r="F188">
        <v>47</v>
      </c>
      <c r="G188">
        <v>11</v>
      </c>
      <c r="H188">
        <v>1104</v>
      </c>
      <c r="I188" s="1" t="s">
        <v>206</v>
      </c>
      <c r="J188">
        <v>30.66</v>
      </c>
      <c r="K188">
        <v>811</v>
      </c>
      <c r="L188">
        <v>136.12</v>
      </c>
      <c r="M188">
        <v>0</v>
      </c>
      <c r="N188">
        <v>8</v>
      </c>
      <c r="O188">
        <v>4</v>
      </c>
      <c r="P188">
        <v>90</v>
      </c>
      <c r="Q188">
        <v>44</v>
      </c>
    </row>
    <row r="189" spans="1:17" x14ac:dyDescent="0.35">
      <c r="A189" t="s">
        <v>325</v>
      </c>
      <c r="B189" s="1" t="s">
        <v>93</v>
      </c>
      <c r="C189" s="1">
        <v>2010</v>
      </c>
      <c r="D189" s="1">
        <v>2024</v>
      </c>
      <c r="E189">
        <v>67</v>
      </c>
      <c r="F189">
        <v>55</v>
      </c>
      <c r="G189">
        <v>11</v>
      </c>
      <c r="H189">
        <v>1094</v>
      </c>
      <c r="I189" s="1" t="s">
        <v>130</v>
      </c>
      <c r="J189">
        <v>24.86</v>
      </c>
      <c r="K189">
        <v>872</v>
      </c>
      <c r="L189">
        <v>125.45</v>
      </c>
      <c r="M189">
        <v>0</v>
      </c>
      <c r="N189">
        <v>5</v>
      </c>
      <c r="O189">
        <v>1</v>
      </c>
      <c r="P189">
        <v>96</v>
      </c>
      <c r="Q189">
        <v>26</v>
      </c>
    </row>
    <row r="190" spans="1:17" x14ac:dyDescent="0.35">
      <c r="A190" t="s">
        <v>335</v>
      </c>
      <c r="B190" s="1" t="s">
        <v>336</v>
      </c>
      <c r="C190" s="1">
        <v>2021</v>
      </c>
      <c r="D190" s="1">
        <v>2025</v>
      </c>
      <c r="E190">
        <v>45</v>
      </c>
      <c r="F190">
        <v>44</v>
      </c>
      <c r="G190">
        <v>4</v>
      </c>
      <c r="H190">
        <v>1093</v>
      </c>
      <c r="I190" s="1" t="s">
        <v>48</v>
      </c>
      <c r="J190">
        <v>27.32</v>
      </c>
      <c r="K190">
        <v>962</v>
      </c>
      <c r="L190">
        <v>113.61</v>
      </c>
      <c r="M190">
        <v>0</v>
      </c>
      <c r="N190">
        <v>12</v>
      </c>
      <c r="O190">
        <v>5</v>
      </c>
      <c r="P190">
        <v>111</v>
      </c>
      <c r="Q190">
        <v>17</v>
      </c>
    </row>
    <row r="191" spans="1:17" x14ac:dyDescent="0.35">
      <c r="A191" t="s">
        <v>391</v>
      </c>
      <c r="B191" s="1" t="s">
        <v>149</v>
      </c>
      <c r="C191" s="1">
        <v>2016</v>
      </c>
      <c r="D191" s="1">
        <v>2025</v>
      </c>
      <c r="E191">
        <v>59</v>
      </c>
      <c r="F191">
        <v>51</v>
      </c>
      <c r="G191">
        <v>7</v>
      </c>
      <c r="H191">
        <v>1091</v>
      </c>
      <c r="I191" s="1" t="s">
        <v>578</v>
      </c>
      <c r="J191">
        <v>24.79</v>
      </c>
      <c r="K191">
        <v>977</v>
      </c>
      <c r="L191">
        <v>111.66</v>
      </c>
      <c r="M191">
        <v>0</v>
      </c>
      <c r="N191">
        <v>5</v>
      </c>
      <c r="O191">
        <v>6</v>
      </c>
      <c r="P191">
        <v>91</v>
      </c>
      <c r="Q191">
        <v>33</v>
      </c>
    </row>
    <row r="192" spans="1:17" x14ac:dyDescent="0.35">
      <c r="A192" t="s">
        <v>416</v>
      </c>
      <c r="B192" s="1" t="s">
        <v>417</v>
      </c>
      <c r="C192" s="1">
        <v>2019</v>
      </c>
      <c r="D192" s="1">
        <v>2025</v>
      </c>
      <c r="E192">
        <v>47</v>
      </c>
      <c r="F192">
        <v>43</v>
      </c>
      <c r="G192">
        <v>15</v>
      </c>
      <c r="H192">
        <v>1088</v>
      </c>
      <c r="I192" s="1" t="s">
        <v>110</v>
      </c>
      <c r="J192">
        <v>38.85</v>
      </c>
      <c r="K192">
        <v>901</v>
      </c>
      <c r="L192">
        <v>120.75</v>
      </c>
      <c r="M192">
        <v>0</v>
      </c>
      <c r="N192">
        <v>6</v>
      </c>
      <c r="O192">
        <v>1</v>
      </c>
      <c r="P192">
        <v>93</v>
      </c>
      <c r="Q192">
        <v>21</v>
      </c>
    </row>
    <row r="193" spans="1:17" x14ac:dyDescent="0.35">
      <c r="A193" t="s">
        <v>328</v>
      </c>
      <c r="B193" s="1" t="s">
        <v>91</v>
      </c>
      <c r="C193" s="1">
        <v>2008</v>
      </c>
      <c r="D193" s="1">
        <v>2018</v>
      </c>
      <c r="E193">
        <v>61</v>
      </c>
      <c r="F193">
        <v>59</v>
      </c>
      <c r="G193">
        <v>6</v>
      </c>
      <c r="H193">
        <v>1079</v>
      </c>
      <c r="I193" s="1" t="s">
        <v>330</v>
      </c>
      <c r="J193">
        <v>20.350000000000001</v>
      </c>
      <c r="K193">
        <v>971</v>
      </c>
      <c r="L193">
        <v>111.12</v>
      </c>
      <c r="M193">
        <v>0</v>
      </c>
      <c r="N193">
        <v>3</v>
      </c>
      <c r="O193">
        <v>5</v>
      </c>
      <c r="P193">
        <v>120</v>
      </c>
      <c r="Q193">
        <v>23</v>
      </c>
    </row>
    <row r="194" spans="1:17" x14ac:dyDescent="0.35">
      <c r="A194" t="s">
        <v>511</v>
      </c>
      <c r="B194" s="1" t="s">
        <v>89</v>
      </c>
      <c r="C194" s="1">
        <v>2023</v>
      </c>
      <c r="D194" s="1">
        <v>2025</v>
      </c>
      <c r="E194">
        <v>56</v>
      </c>
      <c r="F194">
        <v>54</v>
      </c>
      <c r="G194">
        <v>3</v>
      </c>
      <c r="H194">
        <v>1079</v>
      </c>
      <c r="I194" s="1" t="s">
        <v>197</v>
      </c>
      <c r="J194">
        <v>21.15</v>
      </c>
      <c r="K194">
        <v>811</v>
      </c>
      <c r="L194">
        <v>133.04</v>
      </c>
      <c r="M194">
        <v>0</v>
      </c>
      <c r="N194">
        <v>5</v>
      </c>
      <c r="O194">
        <v>10</v>
      </c>
      <c r="P194">
        <v>111</v>
      </c>
      <c r="Q194">
        <v>50</v>
      </c>
    </row>
    <row r="195" spans="1:17" x14ac:dyDescent="0.35">
      <c r="A195" t="s">
        <v>368</v>
      </c>
      <c r="B195" s="1" t="s">
        <v>94</v>
      </c>
      <c r="C195" s="1">
        <v>2019</v>
      </c>
      <c r="D195" s="1">
        <v>2025</v>
      </c>
      <c r="E195">
        <v>108</v>
      </c>
      <c r="F195">
        <v>85</v>
      </c>
      <c r="G195">
        <v>22</v>
      </c>
      <c r="H195">
        <v>1072</v>
      </c>
      <c r="I195" s="1" t="s">
        <v>369</v>
      </c>
      <c r="J195">
        <v>17.010000000000002</v>
      </c>
      <c r="K195">
        <v>935</v>
      </c>
      <c r="L195">
        <v>114.65</v>
      </c>
      <c r="M195">
        <v>0</v>
      </c>
      <c r="N195">
        <v>1</v>
      </c>
      <c r="O195">
        <v>5</v>
      </c>
      <c r="P195">
        <v>73</v>
      </c>
      <c r="Q195">
        <v>39</v>
      </c>
    </row>
    <row r="196" spans="1:17" x14ac:dyDescent="0.35">
      <c r="A196" t="s">
        <v>389</v>
      </c>
      <c r="B196" s="1" t="s">
        <v>225</v>
      </c>
      <c r="C196" s="1">
        <v>2019</v>
      </c>
      <c r="D196" s="1">
        <v>2025</v>
      </c>
      <c r="E196">
        <v>96</v>
      </c>
      <c r="F196">
        <v>64</v>
      </c>
      <c r="G196">
        <v>6</v>
      </c>
      <c r="H196">
        <v>1070</v>
      </c>
      <c r="I196" s="1" t="s">
        <v>390</v>
      </c>
      <c r="J196">
        <v>18.440000000000001</v>
      </c>
      <c r="K196">
        <v>859</v>
      </c>
      <c r="L196">
        <v>124.56</v>
      </c>
      <c r="M196">
        <v>0</v>
      </c>
      <c r="N196">
        <v>6</v>
      </c>
      <c r="O196">
        <v>9</v>
      </c>
      <c r="P196">
        <v>60</v>
      </c>
      <c r="Q196">
        <v>74</v>
      </c>
    </row>
    <row r="197" spans="1:17" x14ac:dyDescent="0.35">
      <c r="A197" t="s">
        <v>339</v>
      </c>
      <c r="B197" s="1" t="s">
        <v>108</v>
      </c>
      <c r="C197" s="1">
        <v>2010</v>
      </c>
      <c r="D197" s="1">
        <v>2025</v>
      </c>
      <c r="E197">
        <v>69</v>
      </c>
      <c r="F197">
        <v>62</v>
      </c>
      <c r="G197">
        <v>7</v>
      </c>
      <c r="H197">
        <v>1066</v>
      </c>
      <c r="I197" s="1" t="s">
        <v>245</v>
      </c>
      <c r="J197">
        <v>19.38</v>
      </c>
      <c r="K197">
        <v>1030</v>
      </c>
      <c r="L197">
        <v>103.49</v>
      </c>
      <c r="M197">
        <v>0</v>
      </c>
      <c r="N197">
        <v>6</v>
      </c>
      <c r="O197">
        <v>0</v>
      </c>
      <c r="P197">
        <v>90</v>
      </c>
      <c r="Q197">
        <v>22</v>
      </c>
    </row>
    <row r="198" spans="1:17" x14ac:dyDescent="0.35">
      <c r="A198" t="s">
        <v>509</v>
      </c>
      <c r="B198" s="1" t="s">
        <v>98</v>
      </c>
      <c r="C198" s="1">
        <v>2024</v>
      </c>
      <c r="D198" s="1">
        <v>2025</v>
      </c>
      <c r="E198">
        <v>44</v>
      </c>
      <c r="F198">
        <v>44</v>
      </c>
      <c r="G198">
        <v>4</v>
      </c>
      <c r="H198">
        <v>1065</v>
      </c>
      <c r="I198" s="1" t="s">
        <v>60</v>
      </c>
      <c r="J198">
        <v>26.62</v>
      </c>
      <c r="K198">
        <v>839</v>
      </c>
      <c r="L198">
        <v>126.93</v>
      </c>
      <c r="M198">
        <v>0</v>
      </c>
      <c r="N198">
        <v>10</v>
      </c>
      <c r="O198">
        <v>6</v>
      </c>
      <c r="P198">
        <v>97</v>
      </c>
      <c r="Q198">
        <v>49</v>
      </c>
    </row>
    <row r="199" spans="1:17" x14ac:dyDescent="0.35">
      <c r="A199" t="s">
        <v>366</v>
      </c>
      <c r="B199" s="1" t="s">
        <v>217</v>
      </c>
      <c r="C199" s="1">
        <v>2022</v>
      </c>
      <c r="D199" s="1">
        <v>2025</v>
      </c>
      <c r="E199">
        <v>55</v>
      </c>
      <c r="F199">
        <v>50</v>
      </c>
      <c r="G199">
        <v>10</v>
      </c>
      <c r="H199">
        <v>1063</v>
      </c>
      <c r="I199" s="1" t="s">
        <v>208</v>
      </c>
      <c r="J199">
        <v>26.57</v>
      </c>
      <c r="K199">
        <v>951</v>
      </c>
      <c r="L199">
        <v>111.77</v>
      </c>
      <c r="M199">
        <v>0</v>
      </c>
      <c r="N199">
        <v>6</v>
      </c>
      <c r="O199">
        <v>2</v>
      </c>
      <c r="P199">
        <v>96</v>
      </c>
      <c r="Q199">
        <v>18</v>
      </c>
    </row>
    <row r="200" spans="1:17" x14ac:dyDescent="0.35">
      <c r="A200" t="s">
        <v>469</v>
      </c>
      <c r="B200" s="1" t="s">
        <v>289</v>
      </c>
      <c r="C200" s="1">
        <v>2020</v>
      </c>
      <c r="D200" s="1">
        <v>2025</v>
      </c>
      <c r="E200">
        <v>52</v>
      </c>
      <c r="F200">
        <v>46</v>
      </c>
      <c r="G200">
        <v>11</v>
      </c>
      <c r="H200">
        <v>1058</v>
      </c>
      <c r="I200" s="1" t="s">
        <v>184</v>
      </c>
      <c r="J200">
        <v>30.22</v>
      </c>
      <c r="K200">
        <v>819</v>
      </c>
      <c r="L200">
        <v>129.18</v>
      </c>
      <c r="M200">
        <v>0</v>
      </c>
      <c r="N200">
        <v>5</v>
      </c>
      <c r="O200">
        <v>4</v>
      </c>
      <c r="P200">
        <v>91</v>
      </c>
      <c r="Q200">
        <v>27</v>
      </c>
    </row>
    <row r="201" spans="1:17" x14ac:dyDescent="0.35">
      <c r="A201" t="s">
        <v>513</v>
      </c>
      <c r="B201" s="1" t="s">
        <v>225</v>
      </c>
      <c r="C201" s="1">
        <v>2024</v>
      </c>
      <c r="D201" s="1">
        <v>2025</v>
      </c>
      <c r="E201">
        <v>40</v>
      </c>
      <c r="F201">
        <v>38</v>
      </c>
      <c r="G201">
        <v>4</v>
      </c>
      <c r="H201">
        <v>1054</v>
      </c>
      <c r="I201" s="1" t="s">
        <v>31</v>
      </c>
      <c r="J201">
        <v>31</v>
      </c>
      <c r="K201">
        <v>757</v>
      </c>
      <c r="L201">
        <v>139.22999999999999</v>
      </c>
      <c r="M201">
        <v>1</v>
      </c>
      <c r="N201">
        <v>6</v>
      </c>
      <c r="O201">
        <v>3</v>
      </c>
      <c r="P201">
        <v>91</v>
      </c>
      <c r="Q201">
        <v>63</v>
      </c>
    </row>
    <row r="202" spans="1:17" x14ac:dyDescent="0.35">
      <c r="A202" t="s">
        <v>343</v>
      </c>
      <c r="B202" s="1" t="s">
        <v>336</v>
      </c>
      <c r="C202" s="1">
        <v>2019</v>
      </c>
      <c r="D202" s="1">
        <v>2024</v>
      </c>
      <c r="E202">
        <v>39</v>
      </c>
      <c r="F202">
        <v>37</v>
      </c>
      <c r="G202">
        <v>7</v>
      </c>
      <c r="H202">
        <v>1054</v>
      </c>
      <c r="I202" s="1" t="s">
        <v>150</v>
      </c>
      <c r="J202">
        <v>35.130000000000003</v>
      </c>
      <c r="K202">
        <v>915</v>
      </c>
      <c r="L202">
        <v>115.19</v>
      </c>
      <c r="M202">
        <v>1</v>
      </c>
      <c r="N202">
        <v>6</v>
      </c>
      <c r="O202">
        <v>2</v>
      </c>
      <c r="P202">
        <v>95</v>
      </c>
      <c r="Q202">
        <v>17</v>
      </c>
    </row>
    <row r="203" spans="1:17" x14ac:dyDescent="0.35">
      <c r="A203" t="s">
        <v>344</v>
      </c>
      <c r="B203" s="1" t="s">
        <v>127</v>
      </c>
      <c r="C203" s="1">
        <v>2019</v>
      </c>
      <c r="D203" s="1">
        <v>2024</v>
      </c>
      <c r="E203">
        <v>56</v>
      </c>
      <c r="F203">
        <v>54</v>
      </c>
      <c r="G203">
        <v>10</v>
      </c>
      <c r="H203">
        <v>1054</v>
      </c>
      <c r="I203" s="1" t="s">
        <v>51</v>
      </c>
      <c r="J203">
        <v>23.95</v>
      </c>
      <c r="K203">
        <v>874</v>
      </c>
      <c r="L203">
        <v>120.59</v>
      </c>
      <c r="M203">
        <v>0</v>
      </c>
      <c r="N203">
        <v>3</v>
      </c>
      <c r="O203">
        <v>6</v>
      </c>
      <c r="P203">
        <v>110</v>
      </c>
      <c r="Q203">
        <v>23</v>
      </c>
    </row>
    <row r="204" spans="1:17" x14ac:dyDescent="0.35">
      <c r="A204" t="s">
        <v>345</v>
      </c>
      <c r="B204" s="1" t="s">
        <v>95</v>
      </c>
      <c r="C204" s="1">
        <v>2020</v>
      </c>
      <c r="D204" s="1">
        <v>2024</v>
      </c>
      <c r="E204">
        <v>48</v>
      </c>
      <c r="F204">
        <v>43</v>
      </c>
      <c r="G204">
        <v>5</v>
      </c>
      <c r="H204">
        <v>1052</v>
      </c>
      <c r="I204" s="1" t="s">
        <v>174</v>
      </c>
      <c r="J204">
        <v>27.68</v>
      </c>
      <c r="K204">
        <v>936</v>
      </c>
      <c r="L204">
        <v>112.39</v>
      </c>
      <c r="M204">
        <v>0</v>
      </c>
      <c r="N204">
        <v>6</v>
      </c>
      <c r="O204">
        <v>4</v>
      </c>
      <c r="P204">
        <v>105</v>
      </c>
      <c r="Q204">
        <v>23</v>
      </c>
    </row>
    <row r="205" spans="1:17" x14ac:dyDescent="0.35">
      <c r="A205" t="s">
        <v>346</v>
      </c>
      <c r="B205" s="1" t="s">
        <v>225</v>
      </c>
      <c r="C205" s="1">
        <v>2019</v>
      </c>
      <c r="D205" s="1">
        <v>2024</v>
      </c>
      <c r="E205">
        <v>52</v>
      </c>
      <c r="F205">
        <v>52</v>
      </c>
      <c r="G205">
        <v>3</v>
      </c>
      <c r="H205">
        <v>1050</v>
      </c>
      <c r="I205" s="1" t="s">
        <v>347</v>
      </c>
      <c r="J205">
        <v>21.42</v>
      </c>
      <c r="K205">
        <v>722</v>
      </c>
      <c r="L205">
        <v>145.41999999999999</v>
      </c>
      <c r="M205">
        <v>0</v>
      </c>
      <c r="N205">
        <v>6</v>
      </c>
      <c r="O205">
        <v>4</v>
      </c>
      <c r="P205">
        <v>91</v>
      </c>
      <c r="Q205">
        <v>78</v>
      </c>
    </row>
    <row r="206" spans="1:17" x14ac:dyDescent="0.35">
      <c r="A206" t="s">
        <v>348</v>
      </c>
      <c r="B206" s="1" t="s">
        <v>349</v>
      </c>
      <c r="C206" s="1">
        <v>2023</v>
      </c>
      <c r="D206" s="1">
        <v>2025</v>
      </c>
      <c r="E206">
        <v>36</v>
      </c>
      <c r="F206">
        <v>33</v>
      </c>
      <c r="G206">
        <v>6</v>
      </c>
      <c r="H206">
        <v>1049</v>
      </c>
      <c r="I206" s="1" t="s">
        <v>266</v>
      </c>
      <c r="J206">
        <v>38.85</v>
      </c>
      <c r="K206">
        <v>711</v>
      </c>
      <c r="L206">
        <v>147.53</v>
      </c>
      <c r="M206">
        <v>0</v>
      </c>
      <c r="N206">
        <v>6</v>
      </c>
      <c r="O206">
        <v>1</v>
      </c>
      <c r="P206">
        <v>95</v>
      </c>
      <c r="Q206">
        <v>57</v>
      </c>
    </row>
    <row r="207" spans="1:17" x14ac:dyDescent="0.35">
      <c r="A207" t="s">
        <v>579</v>
      </c>
      <c r="B207" s="1" t="s">
        <v>164</v>
      </c>
      <c r="C207" s="1">
        <v>2019</v>
      </c>
      <c r="D207" s="1">
        <v>2025</v>
      </c>
      <c r="E207">
        <v>74</v>
      </c>
      <c r="F207">
        <v>55</v>
      </c>
      <c r="G207">
        <v>13</v>
      </c>
      <c r="H207">
        <v>1041</v>
      </c>
      <c r="I207" s="1" t="s">
        <v>580</v>
      </c>
      <c r="J207">
        <v>24.78</v>
      </c>
      <c r="K207">
        <v>836</v>
      </c>
      <c r="L207">
        <v>124.52</v>
      </c>
      <c r="M207">
        <v>1</v>
      </c>
      <c r="N207">
        <v>2</v>
      </c>
      <c r="O207">
        <v>3</v>
      </c>
      <c r="P207">
        <v>89</v>
      </c>
      <c r="Q207">
        <v>29</v>
      </c>
    </row>
    <row r="208" spans="1:17" x14ac:dyDescent="0.35">
      <c r="A208" t="s">
        <v>350</v>
      </c>
      <c r="B208" s="1" t="s">
        <v>351</v>
      </c>
      <c r="C208" s="1">
        <v>2019</v>
      </c>
      <c r="D208" s="1">
        <v>2024</v>
      </c>
      <c r="E208">
        <v>39</v>
      </c>
      <c r="F208">
        <v>39</v>
      </c>
      <c r="G208">
        <v>6</v>
      </c>
      <c r="H208">
        <v>1031</v>
      </c>
      <c r="I208" s="1" t="s">
        <v>9</v>
      </c>
      <c r="J208">
        <v>31.24</v>
      </c>
      <c r="K208">
        <v>868</v>
      </c>
      <c r="L208">
        <v>118.77</v>
      </c>
      <c r="M208">
        <v>1</v>
      </c>
      <c r="N208">
        <v>6</v>
      </c>
      <c r="O208">
        <v>1</v>
      </c>
      <c r="P208">
        <v>80</v>
      </c>
      <c r="Q208">
        <v>42</v>
      </c>
    </row>
    <row r="209" spans="1:17" x14ac:dyDescent="0.35">
      <c r="A209" t="s">
        <v>352</v>
      </c>
      <c r="B209" s="1" t="s">
        <v>149</v>
      </c>
      <c r="C209" s="1">
        <v>2015</v>
      </c>
      <c r="D209" s="1">
        <v>2024</v>
      </c>
      <c r="E209">
        <v>59</v>
      </c>
      <c r="F209">
        <v>51</v>
      </c>
      <c r="G209">
        <v>9</v>
      </c>
      <c r="H209">
        <v>1028</v>
      </c>
      <c r="I209" s="1" t="s">
        <v>184</v>
      </c>
      <c r="J209">
        <v>24.47</v>
      </c>
      <c r="K209">
        <v>891</v>
      </c>
      <c r="L209">
        <v>115.37</v>
      </c>
      <c r="M209">
        <v>0</v>
      </c>
      <c r="N209">
        <v>5</v>
      </c>
      <c r="O209">
        <v>6</v>
      </c>
      <c r="P209">
        <v>75</v>
      </c>
      <c r="Q209">
        <v>30</v>
      </c>
    </row>
    <row r="210" spans="1:17" x14ac:dyDescent="0.35">
      <c r="A210" t="s">
        <v>353</v>
      </c>
      <c r="B210" s="1" t="s">
        <v>247</v>
      </c>
      <c r="C210" s="1">
        <v>2021</v>
      </c>
      <c r="D210" s="1">
        <v>2024</v>
      </c>
      <c r="E210">
        <v>62</v>
      </c>
      <c r="F210">
        <v>60</v>
      </c>
      <c r="G210">
        <v>3</v>
      </c>
      <c r="H210">
        <v>1028</v>
      </c>
      <c r="I210" s="1" t="s">
        <v>245</v>
      </c>
      <c r="J210">
        <v>18.03</v>
      </c>
      <c r="K210">
        <v>966</v>
      </c>
      <c r="L210">
        <v>106.41</v>
      </c>
      <c r="M210">
        <v>0</v>
      </c>
      <c r="N210">
        <v>4</v>
      </c>
      <c r="O210">
        <v>7</v>
      </c>
      <c r="P210">
        <v>104</v>
      </c>
      <c r="Q210">
        <v>35</v>
      </c>
    </row>
    <row r="211" spans="1:17" x14ac:dyDescent="0.35">
      <c r="A211" t="s">
        <v>382</v>
      </c>
      <c r="B211" s="1" t="s">
        <v>105</v>
      </c>
      <c r="C211" s="1">
        <v>2014</v>
      </c>
      <c r="D211" s="1">
        <v>2025</v>
      </c>
      <c r="E211">
        <v>96</v>
      </c>
      <c r="F211">
        <v>83</v>
      </c>
      <c r="G211">
        <v>17</v>
      </c>
      <c r="H211">
        <v>1026</v>
      </c>
      <c r="I211" s="1" t="s">
        <v>383</v>
      </c>
      <c r="J211">
        <v>15.54</v>
      </c>
      <c r="K211">
        <v>937</v>
      </c>
      <c r="L211">
        <v>109.49</v>
      </c>
      <c r="M211">
        <v>0</v>
      </c>
      <c r="N211">
        <v>0</v>
      </c>
      <c r="O211">
        <v>7</v>
      </c>
      <c r="P211">
        <v>71</v>
      </c>
      <c r="Q211">
        <v>27</v>
      </c>
    </row>
    <row r="212" spans="1:17" x14ac:dyDescent="0.35">
      <c r="A212" t="s">
        <v>583</v>
      </c>
      <c r="B212" s="1" t="s">
        <v>274</v>
      </c>
      <c r="C212" s="1">
        <v>2019</v>
      </c>
      <c r="D212" s="1">
        <v>2025</v>
      </c>
      <c r="E212">
        <v>79</v>
      </c>
      <c r="F212">
        <v>58</v>
      </c>
      <c r="G212">
        <v>15</v>
      </c>
      <c r="H212">
        <v>1021</v>
      </c>
      <c r="I212" s="1" t="s">
        <v>245</v>
      </c>
      <c r="J212">
        <v>23.74</v>
      </c>
      <c r="K212">
        <v>860</v>
      </c>
      <c r="L212">
        <v>118.72</v>
      </c>
      <c r="M212">
        <v>0</v>
      </c>
      <c r="N212">
        <v>4</v>
      </c>
      <c r="O212">
        <v>4</v>
      </c>
      <c r="P212">
        <v>80</v>
      </c>
      <c r="Q212">
        <v>35</v>
      </c>
    </row>
    <row r="213" spans="1:17" x14ac:dyDescent="0.35">
      <c r="A213" t="s">
        <v>356</v>
      </c>
      <c r="B213" s="1" t="s">
        <v>103</v>
      </c>
      <c r="C213" s="1">
        <v>2010</v>
      </c>
      <c r="D213" s="1">
        <v>2022</v>
      </c>
      <c r="E213">
        <v>65</v>
      </c>
      <c r="F213">
        <v>56</v>
      </c>
      <c r="G213">
        <v>10</v>
      </c>
      <c r="H213">
        <v>1013</v>
      </c>
      <c r="I213" s="1" t="s">
        <v>210</v>
      </c>
      <c r="J213">
        <v>22.02</v>
      </c>
      <c r="K213">
        <v>858</v>
      </c>
      <c r="L213">
        <v>118.06</v>
      </c>
      <c r="M213">
        <v>0</v>
      </c>
      <c r="N213">
        <v>2</v>
      </c>
      <c r="O213">
        <v>2</v>
      </c>
      <c r="P213">
        <v>76</v>
      </c>
      <c r="Q213">
        <v>37</v>
      </c>
    </row>
    <row r="214" spans="1:17" x14ac:dyDescent="0.35">
      <c r="A214" t="s">
        <v>512</v>
      </c>
      <c r="B214" s="1" t="s">
        <v>88</v>
      </c>
      <c r="C214" s="1">
        <v>2024</v>
      </c>
      <c r="D214" s="1">
        <v>2025</v>
      </c>
      <c r="E214">
        <v>29</v>
      </c>
      <c r="F214">
        <v>28</v>
      </c>
      <c r="G214">
        <v>1</v>
      </c>
      <c r="H214">
        <v>1012</v>
      </c>
      <c r="I214" s="1" t="s">
        <v>489</v>
      </c>
      <c r="J214">
        <v>37.479999999999997</v>
      </c>
      <c r="K214">
        <v>534</v>
      </c>
      <c r="L214">
        <v>189.51</v>
      </c>
      <c r="M214">
        <v>2</v>
      </c>
      <c r="N214">
        <v>6</v>
      </c>
      <c r="O214">
        <v>1</v>
      </c>
      <c r="P214">
        <v>96</v>
      </c>
      <c r="Q214">
        <v>66</v>
      </c>
    </row>
    <row r="215" spans="1:17" x14ac:dyDescent="0.35">
      <c r="A215" t="s">
        <v>434</v>
      </c>
      <c r="B215" s="1" t="s">
        <v>90</v>
      </c>
      <c r="C215" s="1">
        <v>2022</v>
      </c>
      <c r="D215" s="1">
        <v>2025</v>
      </c>
      <c r="E215">
        <v>52</v>
      </c>
      <c r="F215">
        <v>44</v>
      </c>
      <c r="G215">
        <v>11</v>
      </c>
      <c r="H215">
        <v>1012</v>
      </c>
      <c r="I215" s="1" t="s">
        <v>219</v>
      </c>
      <c r="J215">
        <v>30.66</v>
      </c>
      <c r="K215">
        <v>667</v>
      </c>
      <c r="L215">
        <v>151.72</v>
      </c>
      <c r="M215">
        <v>0</v>
      </c>
      <c r="N215">
        <v>5</v>
      </c>
      <c r="O215">
        <v>1</v>
      </c>
      <c r="P215">
        <v>82</v>
      </c>
      <c r="Q215">
        <v>46</v>
      </c>
    </row>
    <row r="216" spans="1:17" x14ac:dyDescent="0.35">
      <c r="A216" t="s">
        <v>393</v>
      </c>
      <c r="B216" s="1" t="s">
        <v>92</v>
      </c>
      <c r="C216" s="1">
        <v>2012</v>
      </c>
      <c r="D216" s="1">
        <v>2025</v>
      </c>
      <c r="E216">
        <v>93</v>
      </c>
      <c r="F216">
        <v>71</v>
      </c>
      <c r="G216">
        <v>21</v>
      </c>
      <c r="H216">
        <v>1010</v>
      </c>
      <c r="I216" s="1" t="s">
        <v>383</v>
      </c>
      <c r="J216">
        <v>20.2</v>
      </c>
      <c r="K216">
        <v>675</v>
      </c>
      <c r="L216">
        <v>149.62</v>
      </c>
      <c r="M216">
        <v>0</v>
      </c>
      <c r="N216">
        <v>0</v>
      </c>
      <c r="O216">
        <v>7</v>
      </c>
      <c r="P216">
        <v>77</v>
      </c>
      <c r="Q216">
        <v>54</v>
      </c>
    </row>
    <row r="217" spans="1:17" x14ac:dyDescent="0.35">
      <c r="A217" t="s">
        <v>357</v>
      </c>
      <c r="B217" s="1" t="s">
        <v>95</v>
      </c>
      <c r="C217" s="1">
        <v>2014</v>
      </c>
      <c r="D217" s="1">
        <v>2023</v>
      </c>
      <c r="E217">
        <v>58</v>
      </c>
      <c r="F217">
        <v>53</v>
      </c>
      <c r="G217">
        <v>5</v>
      </c>
      <c r="H217">
        <v>1006</v>
      </c>
      <c r="I217" s="1" t="s">
        <v>359</v>
      </c>
      <c r="J217">
        <v>20.95</v>
      </c>
      <c r="K217">
        <v>827</v>
      </c>
      <c r="L217">
        <v>121.64</v>
      </c>
      <c r="M217">
        <v>0</v>
      </c>
      <c r="N217">
        <v>4</v>
      </c>
      <c r="O217">
        <v>7</v>
      </c>
      <c r="P217">
        <v>108</v>
      </c>
      <c r="Q217">
        <v>27</v>
      </c>
    </row>
    <row r="218" spans="1:17" x14ac:dyDescent="0.35">
      <c r="A218" t="s">
        <v>360</v>
      </c>
      <c r="B218" s="1" t="s">
        <v>361</v>
      </c>
      <c r="C218" s="1">
        <v>2019</v>
      </c>
      <c r="D218" s="1">
        <v>2024</v>
      </c>
      <c r="E218">
        <v>38</v>
      </c>
      <c r="F218">
        <v>37</v>
      </c>
      <c r="G218">
        <v>5</v>
      </c>
      <c r="H218">
        <v>1005</v>
      </c>
      <c r="I218" s="1" t="s">
        <v>362</v>
      </c>
      <c r="J218">
        <v>31.4</v>
      </c>
      <c r="K218">
        <v>800</v>
      </c>
      <c r="L218">
        <v>125.62</v>
      </c>
      <c r="M218">
        <v>1</v>
      </c>
      <c r="N218">
        <v>5</v>
      </c>
      <c r="O218">
        <v>3</v>
      </c>
      <c r="P218">
        <v>100</v>
      </c>
      <c r="Q218">
        <v>38</v>
      </c>
    </row>
    <row r="219" spans="1:17" x14ac:dyDescent="0.35">
      <c r="A219" t="s">
        <v>409</v>
      </c>
      <c r="B219" s="1" t="s">
        <v>111</v>
      </c>
      <c r="C219" s="1">
        <v>2019</v>
      </c>
      <c r="D219" s="1">
        <v>2025</v>
      </c>
      <c r="E219">
        <v>59</v>
      </c>
      <c r="F219">
        <v>53</v>
      </c>
      <c r="G219">
        <v>10</v>
      </c>
      <c r="H219">
        <v>1003</v>
      </c>
      <c r="I219" s="1" t="s">
        <v>410</v>
      </c>
      <c r="J219">
        <v>23.32</v>
      </c>
      <c r="K219">
        <v>724</v>
      </c>
      <c r="L219">
        <v>138.53</v>
      </c>
      <c r="M219">
        <v>1</v>
      </c>
      <c r="N219">
        <v>4</v>
      </c>
      <c r="O219">
        <v>4</v>
      </c>
      <c r="P219">
        <v>54</v>
      </c>
      <c r="Q219">
        <v>69</v>
      </c>
    </row>
    <row r="220" spans="1:17" x14ac:dyDescent="0.35">
      <c r="A220" t="s">
        <v>363</v>
      </c>
      <c r="B220" s="1" t="s">
        <v>97</v>
      </c>
      <c r="C220" s="1">
        <v>2018</v>
      </c>
      <c r="D220" s="1">
        <v>2024</v>
      </c>
      <c r="E220">
        <v>58</v>
      </c>
      <c r="F220">
        <v>53</v>
      </c>
      <c r="G220">
        <v>10</v>
      </c>
      <c r="H220">
        <v>1000</v>
      </c>
      <c r="I220" s="1" t="s">
        <v>65</v>
      </c>
      <c r="J220">
        <v>23.25</v>
      </c>
      <c r="K220">
        <v>705</v>
      </c>
      <c r="L220">
        <v>141.84</v>
      </c>
      <c r="M220">
        <v>0</v>
      </c>
      <c r="N220">
        <v>5</v>
      </c>
      <c r="O220">
        <v>2</v>
      </c>
      <c r="P220">
        <v>72</v>
      </c>
      <c r="Q220">
        <v>52</v>
      </c>
    </row>
    <row r="221" spans="1:17" x14ac:dyDescent="0.35">
      <c r="A221" t="s">
        <v>364</v>
      </c>
      <c r="B221" s="1" t="s">
        <v>89</v>
      </c>
      <c r="C221" s="1">
        <v>2016</v>
      </c>
      <c r="D221" s="1">
        <v>2024</v>
      </c>
      <c r="E221">
        <v>66</v>
      </c>
      <c r="F221">
        <v>55</v>
      </c>
      <c r="G221">
        <v>14</v>
      </c>
      <c r="H221">
        <v>998</v>
      </c>
      <c r="I221" s="1" t="s">
        <v>365</v>
      </c>
      <c r="J221">
        <v>24.34</v>
      </c>
      <c r="K221">
        <v>773</v>
      </c>
      <c r="L221">
        <v>129.1</v>
      </c>
      <c r="M221">
        <v>0</v>
      </c>
      <c r="N221">
        <v>4</v>
      </c>
      <c r="O221">
        <v>2</v>
      </c>
      <c r="P221">
        <v>66</v>
      </c>
      <c r="Q221">
        <v>44</v>
      </c>
    </row>
    <row r="222" spans="1:17" x14ac:dyDescent="0.35">
      <c r="A222" t="s">
        <v>497</v>
      </c>
      <c r="B222" s="1" t="s">
        <v>88</v>
      </c>
      <c r="C222" s="1">
        <v>2023</v>
      </c>
      <c r="D222" s="1">
        <v>2025</v>
      </c>
      <c r="E222">
        <v>36</v>
      </c>
      <c r="F222">
        <v>33</v>
      </c>
      <c r="G222">
        <v>12</v>
      </c>
      <c r="H222">
        <v>996</v>
      </c>
      <c r="I222" s="1" t="s">
        <v>498</v>
      </c>
      <c r="J222">
        <v>47.42</v>
      </c>
      <c r="K222">
        <v>679</v>
      </c>
      <c r="L222">
        <v>146.68</v>
      </c>
      <c r="M222">
        <v>2</v>
      </c>
      <c r="N222">
        <v>4</v>
      </c>
      <c r="O222">
        <v>4</v>
      </c>
      <c r="P222">
        <v>74</v>
      </c>
      <c r="Q222">
        <v>54</v>
      </c>
    </row>
    <row r="223" spans="1:17" x14ac:dyDescent="0.35">
      <c r="A223" t="s">
        <v>436</v>
      </c>
      <c r="B223" s="1" t="s">
        <v>88</v>
      </c>
      <c r="C223" s="1">
        <v>2015</v>
      </c>
      <c r="D223" s="1">
        <v>2025</v>
      </c>
      <c r="E223">
        <v>51</v>
      </c>
      <c r="F223">
        <v>43</v>
      </c>
      <c r="G223">
        <v>4</v>
      </c>
      <c r="H223">
        <v>995</v>
      </c>
      <c r="I223" s="1" t="s">
        <v>437</v>
      </c>
      <c r="J223">
        <v>25.51</v>
      </c>
      <c r="K223">
        <v>675</v>
      </c>
      <c r="L223">
        <v>147.4</v>
      </c>
      <c r="M223">
        <v>3</v>
      </c>
      <c r="N223">
        <v>3</v>
      </c>
      <c r="O223">
        <v>6</v>
      </c>
      <c r="P223">
        <v>78</v>
      </c>
      <c r="Q223">
        <v>56</v>
      </c>
    </row>
    <row r="224" spans="1:17" x14ac:dyDescent="0.35">
      <c r="A224" t="s">
        <v>403</v>
      </c>
      <c r="B224" s="1" t="s">
        <v>242</v>
      </c>
      <c r="C224" s="1">
        <v>2019</v>
      </c>
      <c r="D224" s="1">
        <v>2025</v>
      </c>
      <c r="E224">
        <v>37</v>
      </c>
      <c r="F224">
        <v>37</v>
      </c>
      <c r="G224">
        <v>3</v>
      </c>
      <c r="H224">
        <v>988</v>
      </c>
      <c r="I224" s="1" t="s">
        <v>404</v>
      </c>
      <c r="J224">
        <v>29.05</v>
      </c>
      <c r="K224">
        <v>695</v>
      </c>
      <c r="L224">
        <v>142.15</v>
      </c>
      <c r="M224">
        <v>0</v>
      </c>
      <c r="N224">
        <v>4</v>
      </c>
      <c r="O224">
        <v>3</v>
      </c>
      <c r="P224">
        <v>105</v>
      </c>
      <c r="Q224">
        <v>27</v>
      </c>
    </row>
    <row r="225" spans="1:17" x14ac:dyDescent="0.35">
      <c r="A225" t="s">
        <v>372</v>
      </c>
      <c r="B225" s="1" t="s">
        <v>89</v>
      </c>
      <c r="C225" s="1">
        <v>2006</v>
      </c>
      <c r="D225" s="1">
        <v>2017</v>
      </c>
      <c r="E225">
        <v>58</v>
      </c>
      <c r="F225">
        <v>53</v>
      </c>
      <c r="G225">
        <v>6</v>
      </c>
      <c r="H225">
        <v>987</v>
      </c>
      <c r="I225" s="1" t="s">
        <v>110</v>
      </c>
      <c r="J225">
        <v>21</v>
      </c>
      <c r="K225">
        <v>825</v>
      </c>
      <c r="L225">
        <v>119.63</v>
      </c>
      <c r="M225">
        <v>0</v>
      </c>
      <c r="N225">
        <v>5</v>
      </c>
      <c r="O225">
        <v>7</v>
      </c>
      <c r="P225">
        <v>100</v>
      </c>
      <c r="Q225">
        <v>31</v>
      </c>
    </row>
    <row r="226" spans="1:17" x14ac:dyDescent="0.35">
      <c r="A226" t="s">
        <v>373</v>
      </c>
      <c r="B226" s="1" t="s">
        <v>98</v>
      </c>
      <c r="C226" s="1">
        <v>2019</v>
      </c>
      <c r="D226" s="1">
        <v>2025</v>
      </c>
      <c r="E226">
        <v>50</v>
      </c>
      <c r="F226">
        <v>48</v>
      </c>
      <c r="G226">
        <v>5</v>
      </c>
      <c r="H226">
        <v>987</v>
      </c>
      <c r="I226" s="1" t="s">
        <v>323</v>
      </c>
      <c r="J226">
        <v>22.95</v>
      </c>
      <c r="K226">
        <v>905</v>
      </c>
      <c r="L226">
        <v>109.06</v>
      </c>
      <c r="M226">
        <v>0</v>
      </c>
      <c r="N226">
        <v>4</v>
      </c>
      <c r="O226">
        <v>0</v>
      </c>
      <c r="P226">
        <v>89</v>
      </c>
      <c r="Q226">
        <v>20</v>
      </c>
    </row>
    <row r="227" spans="1:17" x14ac:dyDescent="0.35">
      <c r="A227" t="s">
        <v>396</v>
      </c>
      <c r="B227" s="1" t="s">
        <v>103</v>
      </c>
      <c r="C227" s="1">
        <v>2012</v>
      </c>
      <c r="D227" s="1">
        <v>2025</v>
      </c>
      <c r="E227">
        <v>78</v>
      </c>
      <c r="F227">
        <v>67</v>
      </c>
      <c r="G227">
        <v>19</v>
      </c>
      <c r="H227">
        <v>986</v>
      </c>
      <c r="I227" s="1" t="s">
        <v>397</v>
      </c>
      <c r="J227">
        <v>20.54</v>
      </c>
      <c r="K227">
        <v>811</v>
      </c>
      <c r="L227">
        <v>121.57</v>
      </c>
      <c r="M227">
        <v>0</v>
      </c>
      <c r="N227">
        <v>3</v>
      </c>
      <c r="O227">
        <v>7</v>
      </c>
      <c r="P227">
        <v>74</v>
      </c>
      <c r="Q227">
        <v>44</v>
      </c>
    </row>
    <row r="228" spans="1:17" x14ac:dyDescent="0.35">
      <c r="A228" t="s">
        <v>425</v>
      </c>
      <c r="B228" s="1" t="s">
        <v>426</v>
      </c>
      <c r="C228" s="1">
        <v>2022</v>
      </c>
      <c r="D228" s="1">
        <v>2025</v>
      </c>
      <c r="E228">
        <v>27</v>
      </c>
      <c r="F228">
        <v>27</v>
      </c>
      <c r="G228">
        <v>4</v>
      </c>
      <c r="H228">
        <v>985</v>
      </c>
      <c r="I228" s="1" t="s">
        <v>427</v>
      </c>
      <c r="J228">
        <v>42.82</v>
      </c>
      <c r="K228">
        <v>675</v>
      </c>
      <c r="L228">
        <v>145.91999999999999</v>
      </c>
      <c r="M228">
        <v>2</v>
      </c>
      <c r="N228">
        <v>7</v>
      </c>
      <c r="O228">
        <v>1</v>
      </c>
      <c r="P228">
        <v>113</v>
      </c>
      <c r="Q228">
        <v>29</v>
      </c>
    </row>
    <row r="229" spans="1:17" x14ac:dyDescent="0.35">
      <c r="A229" t="s">
        <v>374</v>
      </c>
      <c r="B229" s="1" t="s">
        <v>101</v>
      </c>
      <c r="C229" s="1">
        <v>2008</v>
      </c>
      <c r="D229" s="1">
        <v>2024</v>
      </c>
      <c r="E229">
        <v>60</v>
      </c>
      <c r="F229">
        <v>57</v>
      </c>
      <c r="G229">
        <v>7</v>
      </c>
      <c r="H229">
        <v>984</v>
      </c>
      <c r="I229" s="1" t="s">
        <v>375</v>
      </c>
      <c r="J229">
        <v>19.68</v>
      </c>
      <c r="K229">
        <v>892</v>
      </c>
      <c r="L229">
        <v>110.31</v>
      </c>
      <c r="M229">
        <v>0</v>
      </c>
      <c r="N229">
        <v>6</v>
      </c>
      <c r="O229">
        <v>9</v>
      </c>
      <c r="P229">
        <v>67</v>
      </c>
      <c r="Q229">
        <v>53</v>
      </c>
    </row>
    <row r="230" spans="1:17" x14ac:dyDescent="0.35">
      <c r="A230" t="s">
        <v>376</v>
      </c>
      <c r="B230" s="1" t="s">
        <v>93</v>
      </c>
      <c r="C230" s="1">
        <v>2007</v>
      </c>
      <c r="D230" s="1">
        <v>2014</v>
      </c>
      <c r="E230">
        <v>47</v>
      </c>
      <c r="F230">
        <v>44</v>
      </c>
      <c r="G230">
        <v>14</v>
      </c>
      <c r="H230">
        <v>984</v>
      </c>
      <c r="I230" s="1" t="s">
        <v>192</v>
      </c>
      <c r="J230">
        <v>32.799999999999997</v>
      </c>
      <c r="K230">
        <v>740</v>
      </c>
      <c r="L230">
        <v>132.97</v>
      </c>
      <c r="M230">
        <v>0</v>
      </c>
      <c r="N230">
        <v>5</v>
      </c>
      <c r="O230">
        <v>3</v>
      </c>
      <c r="P230">
        <v>71</v>
      </c>
      <c r="Q230">
        <v>44</v>
      </c>
    </row>
    <row r="231" spans="1:17" x14ac:dyDescent="0.35">
      <c r="A231" t="s">
        <v>379</v>
      </c>
      <c r="B231" s="1" t="s">
        <v>97</v>
      </c>
      <c r="C231" s="1">
        <v>2005</v>
      </c>
      <c r="D231" s="1">
        <v>2011</v>
      </c>
      <c r="E231">
        <v>33</v>
      </c>
      <c r="F231">
        <v>33</v>
      </c>
      <c r="G231">
        <v>2</v>
      </c>
      <c r="H231">
        <v>982</v>
      </c>
      <c r="I231" s="1" t="s">
        <v>158</v>
      </c>
      <c r="J231">
        <v>31.67</v>
      </c>
      <c r="K231">
        <v>770</v>
      </c>
      <c r="L231">
        <v>127.53</v>
      </c>
      <c r="M231">
        <v>0</v>
      </c>
      <c r="N231">
        <v>5</v>
      </c>
      <c r="O231">
        <v>1</v>
      </c>
      <c r="P231">
        <v>123</v>
      </c>
      <c r="Q231">
        <v>26</v>
      </c>
    </row>
    <row r="232" spans="1:17" x14ac:dyDescent="0.35">
      <c r="A232" t="s">
        <v>381</v>
      </c>
      <c r="B232" s="1" t="s">
        <v>98</v>
      </c>
      <c r="C232" s="1">
        <v>2014</v>
      </c>
      <c r="D232" s="1">
        <v>2022</v>
      </c>
      <c r="E232">
        <v>48</v>
      </c>
      <c r="F232">
        <v>47</v>
      </c>
      <c r="G232">
        <v>5</v>
      </c>
      <c r="H232">
        <v>977</v>
      </c>
      <c r="I232" s="1" t="s">
        <v>282</v>
      </c>
      <c r="J232">
        <v>23.26</v>
      </c>
      <c r="K232">
        <v>819</v>
      </c>
      <c r="L232">
        <v>119.29</v>
      </c>
      <c r="M232">
        <v>0</v>
      </c>
      <c r="N232">
        <v>4</v>
      </c>
      <c r="O232">
        <v>3</v>
      </c>
      <c r="P232">
        <v>92</v>
      </c>
      <c r="Q232">
        <v>29</v>
      </c>
    </row>
    <row r="233" spans="1:17" x14ac:dyDescent="0.35">
      <c r="A233" t="s">
        <v>385</v>
      </c>
      <c r="B233" s="1" t="s">
        <v>95</v>
      </c>
      <c r="C233" s="1">
        <v>2014</v>
      </c>
      <c r="D233" s="1">
        <v>2019</v>
      </c>
      <c r="E233">
        <v>32</v>
      </c>
      <c r="F233">
        <v>32</v>
      </c>
      <c r="G233">
        <v>3</v>
      </c>
      <c r="H233">
        <v>971</v>
      </c>
      <c r="I233" s="1" t="s">
        <v>387</v>
      </c>
      <c r="J233">
        <v>33.479999999999997</v>
      </c>
      <c r="K233">
        <v>770</v>
      </c>
      <c r="L233">
        <v>126.1</v>
      </c>
      <c r="M233">
        <v>1</v>
      </c>
      <c r="N233">
        <v>6</v>
      </c>
      <c r="O233">
        <v>1</v>
      </c>
      <c r="P233">
        <v>75</v>
      </c>
      <c r="Q233">
        <v>43</v>
      </c>
    </row>
    <row r="234" spans="1:17" x14ac:dyDescent="0.35">
      <c r="A234" t="s">
        <v>495</v>
      </c>
      <c r="B234" s="1" t="s">
        <v>371</v>
      </c>
      <c r="C234" s="1">
        <v>2020</v>
      </c>
      <c r="D234" s="1">
        <v>2025</v>
      </c>
      <c r="E234">
        <v>43</v>
      </c>
      <c r="F234">
        <v>43</v>
      </c>
      <c r="G234">
        <v>2</v>
      </c>
      <c r="H234">
        <v>970</v>
      </c>
      <c r="I234" s="1" t="s">
        <v>110</v>
      </c>
      <c r="J234">
        <v>23.65</v>
      </c>
      <c r="K234">
        <v>794</v>
      </c>
      <c r="L234">
        <v>122.16</v>
      </c>
      <c r="M234">
        <v>0</v>
      </c>
      <c r="N234">
        <v>6</v>
      </c>
      <c r="O234">
        <v>9</v>
      </c>
      <c r="P234">
        <v>105</v>
      </c>
      <c r="Q234">
        <v>33</v>
      </c>
    </row>
    <row r="235" spans="1:17" x14ac:dyDescent="0.35">
      <c r="A235" t="s">
        <v>388</v>
      </c>
      <c r="B235" s="1" t="s">
        <v>164</v>
      </c>
      <c r="C235" s="1">
        <v>2019</v>
      </c>
      <c r="D235" s="1">
        <v>2025</v>
      </c>
      <c r="E235">
        <v>37</v>
      </c>
      <c r="F235">
        <v>37</v>
      </c>
      <c r="G235">
        <v>4</v>
      </c>
      <c r="H235">
        <v>969</v>
      </c>
      <c r="I235" s="1" t="s">
        <v>60</v>
      </c>
      <c r="J235">
        <v>29.36</v>
      </c>
      <c r="K235">
        <v>696</v>
      </c>
      <c r="L235">
        <v>139.22</v>
      </c>
      <c r="M235">
        <v>0</v>
      </c>
      <c r="N235">
        <v>6</v>
      </c>
      <c r="O235">
        <v>1</v>
      </c>
      <c r="P235">
        <v>103</v>
      </c>
      <c r="Q235">
        <v>34</v>
      </c>
    </row>
    <row r="236" spans="1:17" x14ac:dyDescent="0.35">
      <c r="A236" t="s">
        <v>519</v>
      </c>
      <c r="B236" s="1" t="s">
        <v>482</v>
      </c>
      <c r="C236" s="1">
        <v>2022</v>
      </c>
      <c r="D236" s="1">
        <v>2025</v>
      </c>
      <c r="E236">
        <v>58</v>
      </c>
      <c r="F236">
        <v>55</v>
      </c>
      <c r="G236">
        <v>7</v>
      </c>
      <c r="H236">
        <v>966</v>
      </c>
      <c r="I236" s="1" t="s">
        <v>259</v>
      </c>
      <c r="J236">
        <v>20.12</v>
      </c>
      <c r="K236">
        <v>906</v>
      </c>
      <c r="L236">
        <v>106.62</v>
      </c>
      <c r="M236">
        <v>0</v>
      </c>
      <c r="N236">
        <v>5</v>
      </c>
      <c r="O236">
        <v>7</v>
      </c>
      <c r="P236">
        <v>98</v>
      </c>
      <c r="Q236">
        <v>33</v>
      </c>
    </row>
    <row r="237" spans="1:17" x14ac:dyDescent="0.35">
      <c r="A237" t="s">
        <v>392</v>
      </c>
      <c r="B237" s="1" t="s">
        <v>90</v>
      </c>
      <c r="C237" s="1">
        <v>2017</v>
      </c>
      <c r="D237" s="1">
        <v>2025</v>
      </c>
      <c r="E237">
        <v>60</v>
      </c>
      <c r="F237">
        <v>47</v>
      </c>
      <c r="G237">
        <v>9</v>
      </c>
      <c r="H237">
        <v>955</v>
      </c>
      <c r="I237" s="1" t="s">
        <v>68</v>
      </c>
      <c r="J237">
        <v>25.13</v>
      </c>
      <c r="K237">
        <v>641</v>
      </c>
      <c r="L237">
        <v>148.97999999999999</v>
      </c>
      <c r="M237">
        <v>1</v>
      </c>
      <c r="N237">
        <v>2</v>
      </c>
      <c r="O237">
        <v>3</v>
      </c>
      <c r="P237">
        <v>54</v>
      </c>
      <c r="Q237">
        <v>59</v>
      </c>
    </row>
    <row r="238" spans="1:17" x14ac:dyDescent="0.35">
      <c r="A238" t="s">
        <v>408</v>
      </c>
      <c r="B238" s="1" t="s">
        <v>91</v>
      </c>
      <c r="C238" s="1">
        <v>2021</v>
      </c>
      <c r="D238" s="1">
        <v>2025</v>
      </c>
      <c r="E238">
        <v>64</v>
      </c>
      <c r="F238">
        <v>54</v>
      </c>
      <c r="G238">
        <v>8</v>
      </c>
      <c r="H238">
        <v>950</v>
      </c>
      <c r="I238" s="1" t="s">
        <v>190</v>
      </c>
      <c r="J238">
        <v>20.65</v>
      </c>
      <c r="K238">
        <v>757</v>
      </c>
      <c r="L238">
        <v>125.49</v>
      </c>
      <c r="M238">
        <v>0</v>
      </c>
      <c r="N238">
        <v>3</v>
      </c>
      <c r="O238">
        <v>5</v>
      </c>
      <c r="P238">
        <v>77</v>
      </c>
      <c r="Q238">
        <v>29</v>
      </c>
    </row>
    <row r="239" spans="1:17" x14ac:dyDescent="0.35">
      <c r="A239" t="s">
        <v>398</v>
      </c>
      <c r="B239" s="1" t="s">
        <v>399</v>
      </c>
      <c r="C239" s="1">
        <v>2023</v>
      </c>
      <c r="D239" s="1">
        <v>2025</v>
      </c>
      <c r="E239">
        <v>37</v>
      </c>
      <c r="F239">
        <v>37</v>
      </c>
      <c r="G239">
        <v>7</v>
      </c>
      <c r="H239">
        <v>941</v>
      </c>
      <c r="I239" s="1" t="s">
        <v>141</v>
      </c>
      <c r="J239">
        <v>31.36</v>
      </c>
      <c r="K239">
        <v>877</v>
      </c>
      <c r="L239">
        <v>107.29</v>
      </c>
      <c r="M239">
        <v>0</v>
      </c>
      <c r="N239">
        <v>6</v>
      </c>
      <c r="O239">
        <v>2</v>
      </c>
      <c r="P239">
        <v>97</v>
      </c>
      <c r="Q239">
        <v>18</v>
      </c>
    </row>
    <row r="240" spans="1:17" x14ac:dyDescent="0.35">
      <c r="A240" t="s">
        <v>401</v>
      </c>
      <c r="B240" s="1" t="s">
        <v>212</v>
      </c>
      <c r="C240" s="1">
        <v>2020</v>
      </c>
      <c r="D240" s="1">
        <v>2024</v>
      </c>
      <c r="E240">
        <v>43</v>
      </c>
      <c r="F240">
        <v>42</v>
      </c>
      <c r="G240">
        <v>1</v>
      </c>
      <c r="H240">
        <v>937</v>
      </c>
      <c r="I240" s="1" t="s">
        <v>402</v>
      </c>
      <c r="J240">
        <v>22.85</v>
      </c>
      <c r="K240">
        <v>777</v>
      </c>
      <c r="L240">
        <v>120.59</v>
      </c>
      <c r="M240">
        <v>1</v>
      </c>
      <c r="N240">
        <v>3</v>
      </c>
      <c r="O240">
        <v>3</v>
      </c>
      <c r="P240">
        <v>106</v>
      </c>
      <c r="Q240">
        <v>24</v>
      </c>
    </row>
    <row r="241" spans="1:17" x14ac:dyDescent="0.35">
      <c r="A241" t="s">
        <v>444</v>
      </c>
      <c r="B241" s="1" t="s">
        <v>242</v>
      </c>
      <c r="C241" s="1">
        <v>2019</v>
      </c>
      <c r="D241" s="1">
        <v>2025</v>
      </c>
      <c r="E241">
        <v>45</v>
      </c>
      <c r="F241">
        <v>44</v>
      </c>
      <c r="G241">
        <v>1</v>
      </c>
      <c r="H241">
        <v>933</v>
      </c>
      <c r="I241" s="1" t="s">
        <v>170</v>
      </c>
      <c r="J241">
        <v>21.69</v>
      </c>
      <c r="K241">
        <v>763</v>
      </c>
      <c r="L241">
        <v>122.28</v>
      </c>
      <c r="M241">
        <v>1</v>
      </c>
      <c r="N241">
        <v>4</v>
      </c>
      <c r="O241">
        <v>4</v>
      </c>
      <c r="P241">
        <v>102</v>
      </c>
      <c r="Q241">
        <v>27</v>
      </c>
    </row>
    <row r="242" spans="1:17" x14ac:dyDescent="0.35">
      <c r="A242" t="s">
        <v>406</v>
      </c>
      <c r="B242" s="1" t="s">
        <v>88</v>
      </c>
      <c r="C242" s="1">
        <v>2007</v>
      </c>
      <c r="D242" s="1">
        <v>2012</v>
      </c>
      <c r="E242">
        <v>37</v>
      </c>
      <c r="F242">
        <v>36</v>
      </c>
      <c r="G242">
        <v>2</v>
      </c>
      <c r="H242">
        <v>932</v>
      </c>
      <c r="I242" s="1" t="s">
        <v>51</v>
      </c>
      <c r="J242">
        <v>27.41</v>
      </c>
      <c r="K242">
        <v>783</v>
      </c>
      <c r="L242">
        <v>119.02</v>
      </c>
      <c r="M242">
        <v>0</v>
      </c>
      <c r="N242">
        <v>7</v>
      </c>
      <c r="O242">
        <v>2</v>
      </c>
      <c r="P242">
        <v>109</v>
      </c>
      <c r="Q242">
        <v>10</v>
      </c>
    </row>
    <row r="243" spans="1:17" x14ac:dyDescent="0.35">
      <c r="A243" t="s">
        <v>432</v>
      </c>
      <c r="B243" s="1" t="s">
        <v>433</v>
      </c>
      <c r="C243" s="1">
        <v>2019</v>
      </c>
      <c r="D243" s="1">
        <v>2025</v>
      </c>
      <c r="E243">
        <v>44</v>
      </c>
      <c r="F243">
        <v>44</v>
      </c>
      <c r="G243">
        <v>1</v>
      </c>
      <c r="H243">
        <v>931</v>
      </c>
      <c r="I243" s="1" t="s">
        <v>187</v>
      </c>
      <c r="J243">
        <v>21.65</v>
      </c>
      <c r="K243">
        <v>768</v>
      </c>
      <c r="L243">
        <v>121.22</v>
      </c>
      <c r="M243">
        <v>0</v>
      </c>
      <c r="N243">
        <v>4</v>
      </c>
      <c r="O243">
        <v>5</v>
      </c>
      <c r="P243">
        <v>97</v>
      </c>
      <c r="Q243">
        <v>20</v>
      </c>
    </row>
    <row r="244" spans="1:17" x14ac:dyDescent="0.35">
      <c r="A244" t="s">
        <v>481</v>
      </c>
      <c r="B244" s="1" t="s">
        <v>482</v>
      </c>
      <c r="C244" s="1">
        <v>2022</v>
      </c>
      <c r="D244" s="1">
        <v>2025</v>
      </c>
      <c r="E244">
        <v>39</v>
      </c>
      <c r="F244">
        <v>36</v>
      </c>
      <c r="G244">
        <v>12</v>
      </c>
      <c r="H244">
        <v>928</v>
      </c>
      <c r="I244" s="1" t="s">
        <v>114</v>
      </c>
      <c r="J244">
        <v>38.659999999999997</v>
      </c>
      <c r="K244">
        <v>812</v>
      </c>
      <c r="L244">
        <v>114.28</v>
      </c>
      <c r="M244">
        <v>0</v>
      </c>
      <c r="N244">
        <v>4</v>
      </c>
      <c r="O244">
        <v>1</v>
      </c>
      <c r="P244">
        <v>71</v>
      </c>
      <c r="Q244">
        <v>29</v>
      </c>
    </row>
    <row r="245" spans="1:17" x14ac:dyDescent="0.35">
      <c r="A245" t="s">
        <v>411</v>
      </c>
      <c r="B245" s="1" t="s">
        <v>412</v>
      </c>
      <c r="C245" s="1">
        <v>2019</v>
      </c>
      <c r="D245" s="1">
        <v>2025</v>
      </c>
      <c r="E245">
        <v>43</v>
      </c>
      <c r="F245">
        <v>36</v>
      </c>
      <c r="G245">
        <v>3</v>
      </c>
      <c r="H245">
        <v>920</v>
      </c>
      <c r="I245" s="1" t="s">
        <v>362</v>
      </c>
      <c r="J245">
        <v>27.87</v>
      </c>
      <c r="K245">
        <v>669</v>
      </c>
      <c r="L245">
        <v>137.51</v>
      </c>
      <c r="M245">
        <v>1</v>
      </c>
      <c r="N245">
        <v>6</v>
      </c>
      <c r="O245">
        <v>1</v>
      </c>
      <c r="P245">
        <v>100</v>
      </c>
      <c r="Q245">
        <v>29</v>
      </c>
    </row>
    <row r="246" spans="1:17" x14ac:dyDescent="0.35">
      <c r="A246" t="s">
        <v>458</v>
      </c>
      <c r="B246" s="1" t="s">
        <v>433</v>
      </c>
      <c r="C246" s="1">
        <v>2019</v>
      </c>
      <c r="D246" s="1">
        <v>2025</v>
      </c>
      <c r="E246">
        <v>49</v>
      </c>
      <c r="F246">
        <v>49</v>
      </c>
      <c r="G246">
        <v>7</v>
      </c>
      <c r="H246">
        <v>920</v>
      </c>
      <c r="I246" s="1" t="s">
        <v>50</v>
      </c>
      <c r="J246">
        <v>21.9</v>
      </c>
      <c r="K246">
        <v>869</v>
      </c>
      <c r="L246">
        <v>105.86</v>
      </c>
      <c r="M246">
        <v>0</v>
      </c>
      <c r="N246">
        <v>2</v>
      </c>
      <c r="O246">
        <v>4</v>
      </c>
      <c r="P246">
        <v>67</v>
      </c>
      <c r="Q246">
        <v>29</v>
      </c>
    </row>
    <row r="247" spans="1:17" x14ac:dyDescent="0.35">
      <c r="A247" t="s">
        <v>514</v>
      </c>
      <c r="B247" s="1" t="s">
        <v>482</v>
      </c>
      <c r="C247" s="1">
        <v>2023</v>
      </c>
      <c r="D247" s="1">
        <v>2025</v>
      </c>
      <c r="E247">
        <v>56</v>
      </c>
      <c r="F247">
        <v>51</v>
      </c>
      <c r="G247">
        <v>6</v>
      </c>
      <c r="H247">
        <v>919</v>
      </c>
      <c r="I247" s="1" t="s">
        <v>387</v>
      </c>
      <c r="J247">
        <v>20.420000000000002</v>
      </c>
      <c r="K247">
        <v>804</v>
      </c>
      <c r="L247">
        <v>114.3</v>
      </c>
      <c r="M247">
        <v>2</v>
      </c>
      <c r="N247">
        <v>1</v>
      </c>
      <c r="O247">
        <v>4</v>
      </c>
      <c r="P247">
        <v>99</v>
      </c>
      <c r="Q247">
        <v>36</v>
      </c>
    </row>
    <row r="248" spans="1:17" x14ac:dyDescent="0.35">
      <c r="A248" t="s">
        <v>414</v>
      </c>
      <c r="B248" s="1" t="s">
        <v>106</v>
      </c>
      <c r="C248" s="1">
        <v>2012</v>
      </c>
      <c r="D248" s="1">
        <v>2022</v>
      </c>
      <c r="E248">
        <v>45</v>
      </c>
      <c r="F248">
        <v>44</v>
      </c>
      <c r="G248">
        <v>2</v>
      </c>
      <c r="H248">
        <v>915</v>
      </c>
      <c r="I248" s="1" t="s">
        <v>114</v>
      </c>
      <c r="J248">
        <v>21.78</v>
      </c>
      <c r="K248">
        <v>799</v>
      </c>
      <c r="L248">
        <v>114.51</v>
      </c>
      <c r="M248">
        <v>0</v>
      </c>
      <c r="N248">
        <v>5</v>
      </c>
      <c r="O248">
        <v>8</v>
      </c>
      <c r="P248">
        <v>100</v>
      </c>
      <c r="Q248">
        <v>28</v>
      </c>
    </row>
    <row r="249" spans="1:17" x14ac:dyDescent="0.35">
      <c r="A249" t="s">
        <v>435</v>
      </c>
      <c r="B249" s="1" t="s">
        <v>176</v>
      </c>
      <c r="C249" s="1">
        <v>2022</v>
      </c>
      <c r="D249" s="1">
        <v>2025</v>
      </c>
      <c r="E249">
        <v>43</v>
      </c>
      <c r="F249">
        <v>42</v>
      </c>
      <c r="G249">
        <v>4</v>
      </c>
      <c r="H249">
        <v>915</v>
      </c>
      <c r="I249" s="1" t="s">
        <v>404</v>
      </c>
      <c r="J249">
        <v>24.07</v>
      </c>
      <c r="K249">
        <v>727</v>
      </c>
      <c r="L249">
        <v>125.85</v>
      </c>
      <c r="M249">
        <v>0</v>
      </c>
      <c r="N249">
        <v>5</v>
      </c>
      <c r="O249">
        <v>2</v>
      </c>
      <c r="P249">
        <v>86</v>
      </c>
      <c r="Q249">
        <v>20</v>
      </c>
    </row>
    <row r="250" spans="1:17" x14ac:dyDescent="0.35">
      <c r="A250" t="s">
        <v>510</v>
      </c>
      <c r="B250" s="1" t="s">
        <v>93</v>
      </c>
      <c r="C250" s="1">
        <v>2022</v>
      </c>
      <c r="D250" s="1">
        <v>2025</v>
      </c>
      <c r="E250">
        <v>41</v>
      </c>
      <c r="F250">
        <v>38</v>
      </c>
      <c r="G250">
        <v>6</v>
      </c>
      <c r="H250">
        <v>911</v>
      </c>
      <c r="I250" s="1" t="s">
        <v>170</v>
      </c>
      <c r="J250">
        <v>28.46</v>
      </c>
      <c r="K250">
        <v>572</v>
      </c>
      <c r="L250">
        <v>159.26</v>
      </c>
      <c r="M250">
        <v>2</v>
      </c>
      <c r="N250">
        <v>2</v>
      </c>
      <c r="O250">
        <v>4</v>
      </c>
      <c r="P250">
        <v>92</v>
      </c>
      <c r="Q250">
        <v>37</v>
      </c>
    </row>
    <row r="251" spans="1:17" x14ac:dyDescent="0.35">
      <c r="A251" t="s">
        <v>419</v>
      </c>
      <c r="B251" s="1" t="s">
        <v>286</v>
      </c>
      <c r="C251" s="1">
        <v>2022</v>
      </c>
      <c r="D251" s="1">
        <v>2025</v>
      </c>
      <c r="E251">
        <v>31</v>
      </c>
      <c r="F251">
        <v>31</v>
      </c>
      <c r="G251">
        <v>3</v>
      </c>
      <c r="H251">
        <v>910</v>
      </c>
      <c r="I251" s="1" t="s">
        <v>16</v>
      </c>
      <c r="J251">
        <v>32.5</v>
      </c>
      <c r="K251">
        <v>618</v>
      </c>
      <c r="L251">
        <v>147.24</v>
      </c>
      <c r="M251">
        <v>2</v>
      </c>
      <c r="N251">
        <v>6</v>
      </c>
      <c r="O251">
        <v>5</v>
      </c>
      <c r="P251">
        <v>85</v>
      </c>
      <c r="Q251">
        <v>60</v>
      </c>
    </row>
    <row r="252" spans="1:17" x14ac:dyDescent="0.35">
      <c r="A252" t="s">
        <v>584</v>
      </c>
      <c r="B252" s="1" t="s">
        <v>240</v>
      </c>
      <c r="C252" s="1">
        <v>2019</v>
      </c>
      <c r="D252" s="1">
        <v>2025</v>
      </c>
      <c r="E252">
        <v>60</v>
      </c>
      <c r="F252">
        <v>56</v>
      </c>
      <c r="G252">
        <v>5</v>
      </c>
      <c r="H252">
        <v>903</v>
      </c>
      <c r="I252" s="1" t="s">
        <v>585</v>
      </c>
      <c r="J252">
        <v>17.7</v>
      </c>
      <c r="K252">
        <v>990</v>
      </c>
      <c r="L252">
        <v>91.21</v>
      </c>
      <c r="M252">
        <v>0</v>
      </c>
      <c r="N252">
        <v>1</v>
      </c>
      <c r="O252">
        <v>4</v>
      </c>
      <c r="P252">
        <v>88</v>
      </c>
      <c r="Q252">
        <v>15</v>
      </c>
    </row>
    <row r="253" spans="1:17" x14ac:dyDescent="0.35">
      <c r="A253" t="s">
        <v>500</v>
      </c>
      <c r="B253" s="1" t="s">
        <v>338</v>
      </c>
      <c r="C253" s="1">
        <v>2019</v>
      </c>
      <c r="D253" s="1">
        <v>2025</v>
      </c>
      <c r="E253">
        <v>49</v>
      </c>
      <c r="F253">
        <v>45</v>
      </c>
      <c r="G253">
        <v>4</v>
      </c>
      <c r="H253">
        <v>900</v>
      </c>
      <c r="I253" s="1" t="s">
        <v>282</v>
      </c>
      <c r="J253">
        <v>21.95</v>
      </c>
      <c r="K253">
        <v>786</v>
      </c>
      <c r="L253">
        <v>114.5</v>
      </c>
      <c r="M253">
        <v>0</v>
      </c>
      <c r="N253">
        <v>2</v>
      </c>
      <c r="O253">
        <v>1</v>
      </c>
      <c r="P253">
        <v>80</v>
      </c>
      <c r="Q253">
        <v>28</v>
      </c>
    </row>
    <row r="254" spans="1:17" x14ac:dyDescent="0.35">
      <c r="A254" t="s">
        <v>494</v>
      </c>
      <c r="B254" s="1" t="s">
        <v>249</v>
      </c>
      <c r="C254" s="1">
        <v>2019</v>
      </c>
      <c r="D254" s="1">
        <v>2025</v>
      </c>
      <c r="E254">
        <v>47</v>
      </c>
      <c r="F254">
        <v>44</v>
      </c>
      <c r="G254">
        <v>5</v>
      </c>
      <c r="H254">
        <v>896</v>
      </c>
      <c r="I254" s="1" t="s">
        <v>69</v>
      </c>
      <c r="J254">
        <v>22.97</v>
      </c>
      <c r="K254">
        <v>822</v>
      </c>
      <c r="L254">
        <v>109</v>
      </c>
      <c r="M254">
        <v>2</v>
      </c>
      <c r="N254">
        <v>3</v>
      </c>
      <c r="O254">
        <v>0</v>
      </c>
      <c r="P254">
        <v>84</v>
      </c>
      <c r="Q254">
        <v>29</v>
      </c>
    </row>
    <row r="255" spans="1:17" x14ac:dyDescent="0.35">
      <c r="A255" t="s">
        <v>454</v>
      </c>
      <c r="B255" s="1" t="s">
        <v>217</v>
      </c>
      <c r="C255" s="1">
        <v>2021</v>
      </c>
      <c r="D255" s="1">
        <v>2025</v>
      </c>
      <c r="E255">
        <v>75</v>
      </c>
      <c r="F255">
        <v>61</v>
      </c>
      <c r="G255">
        <v>11</v>
      </c>
      <c r="H255">
        <v>896</v>
      </c>
      <c r="I255" s="1" t="s">
        <v>455</v>
      </c>
      <c r="J255">
        <v>17.920000000000002</v>
      </c>
      <c r="K255">
        <v>924</v>
      </c>
      <c r="L255">
        <v>96.96</v>
      </c>
      <c r="M255">
        <v>0</v>
      </c>
      <c r="N255">
        <v>2</v>
      </c>
      <c r="O255">
        <v>4</v>
      </c>
      <c r="P255">
        <v>83</v>
      </c>
      <c r="Q255">
        <v>15</v>
      </c>
    </row>
    <row r="256" spans="1:17" x14ac:dyDescent="0.35">
      <c r="A256" t="s">
        <v>421</v>
      </c>
      <c r="B256" s="1" t="s">
        <v>100</v>
      </c>
      <c r="C256" s="1">
        <v>2006</v>
      </c>
      <c r="D256" s="1">
        <v>2020</v>
      </c>
      <c r="E256">
        <v>57</v>
      </c>
      <c r="F256">
        <v>56</v>
      </c>
      <c r="G256">
        <v>9</v>
      </c>
      <c r="H256">
        <v>893</v>
      </c>
      <c r="I256" s="1" t="s">
        <v>221</v>
      </c>
      <c r="J256">
        <v>19</v>
      </c>
      <c r="K256">
        <v>635</v>
      </c>
      <c r="L256">
        <v>140.62</v>
      </c>
      <c r="M256">
        <v>0</v>
      </c>
      <c r="N256">
        <v>3</v>
      </c>
      <c r="O256">
        <v>6</v>
      </c>
      <c r="P256">
        <v>61</v>
      </c>
      <c r="Q256">
        <v>53</v>
      </c>
    </row>
    <row r="257" spans="1:17" x14ac:dyDescent="0.35">
      <c r="A257" t="s">
        <v>422</v>
      </c>
      <c r="B257" s="1" t="s">
        <v>90</v>
      </c>
      <c r="C257" s="1">
        <v>2012</v>
      </c>
      <c r="D257" s="1">
        <v>2019</v>
      </c>
      <c r="E257">
        <v>32</v>
      </c>
      <c r="F257">
        <v>30</v>
      </c>
      <c r="G257">
        <v>5</v>
      </c>
      <c r="H257">
        <v>893</v>
      </c>
      <c r="I257" s="1" t="s">
        <v>334</v>
      </c>
      <c r="J257">
        <v>35.72</v>
      </c>
      <c r="K257">
        <v>707</v>
      </c>
      <c r="L257">
        <v>126.3</v>
      </c>
      <c r="M257">
        <v>0</v>
      </c>
      <c r="N257">
        <v>5</v>
      </c>
      <c r="O257">
        <v>2</v>
      </c>
      <c r="P257">
        <v>92</v>
      </c>
      <c r="Q257">
        <v>16</v>
      </c>
    </row>
    <row r="258" spans="1:17" x14ac:dyDescent="0.35">
      <c r="A258" t="s">
        <v>431</v>
      </c>
      <c r="B258" s="1" t="s">
        <v>417</v>
      </c>
      <c r="C258" s="1">
        <v>2019</v>
      </c>
      <c r="D258" s="1">
        <v>2025</v>
      </c>
      <c r="E258">
        <v>39</v>
      </c>
      <c r="F258">
        <v>37</v>
      </c>
      <c r="G258">
        <v>5</v>
      </c>
      <c r="H258">
        <v>892</v>
      </c>
      <c r="I258" s="1" t="s">
        <v>390</v>
      </c>
      <c r="J258">
        <v>27.87</v>
      </c>
      <c r="K258">
        <v>811</v>
      </c>
      <c r="L258">
        <v>109.98</v>
      </c>
      <c r="M258">
        <v>0</v>
      </c>
      <c r="N258">
        <v>3</v>
      </c>
      <c r="O258">
        <v>1</v>
      </c>
      <c r="P258">
        <v>82</v>
      </c>
      <c r="Q258">
        <v>21</v>
      </c>
    </row>
    <row r="259" spans="1:17" x14ac:dyDescent="0.35">
      <c r="A259" t="s">
        <v>424</v>
      </c>
      <c r="B259" s="1" t="s">
        <v>95</v>
      </c>
      <c r="C259" s="1">
        <v>2016</v>
      </c>
      <c r="D259" s="1">
        <v>2022</v>
      </c>
      <c r="E259">
        <v>47</v>
      </c>
      <c r="F259">
        <v>43</v>
      </c>
      <c r="G259">
        <v>6</v>
      </c>
      <c r="H259">
        <v>891</v>
      </c>
      <c r="I259" s="1" t="s">
        <v>158</v>
      </c>
      <c r="J259">
        <v>24.08</v>
      </c>
      <c r="K259">
        <v>778</v>
      </c>
      <c r="L259">
        <v>114.52</v>
      </c>
      <c r="M259">
        <v>0</v>
      </c>
      <c r="N259">
        <v>3</v>
      </c>
      <c r="O259">
        <v>3</v>
      </c>
      <c r="P259">
        <v>73</v>
      </c>
      <c r="Q259">
        <v>27</v>
      </c>
    </row>
    <row r="260" spans="1:17" x14ac:dyDescent="0.35">
      <c r="A260" t="s">
        <v>430</v>
      </c>
      <c r="B260" s="1" t="s">
        <v>111</v>
      </c>
      <c r="C260" s="1">
        <v>2014</v>
      </c>
      <c r="D260" s="1">
        <v>2022</v>
      </c>
      <c r="E260">
        <v>45</v>
      </c>
      <c r="F260">
        <v>39</v>
      </c>
      <c r="G260">
        <v>1</v>
      </c>
      <c r="H260">
        <v>883</v>
      </c>
      <c r="I260" s="1" t="s">
        <v>85</v>
      </c>
      <c r="J260">
        <v>23.23</v>
      </c>
      <c r="K260">
        <v>734</v>
      </c>
      <c r="L260">
        <v>120.29</v>
      </c>
      <c r="M260">
        <v>1</v>
      </c>
      <c r="N260">
        <v>2</v>
      </c>
      <c r="O260">
        <v>1</v>
      </c>
      <c r="P260">
        <v>76</v>
      </c>
      <c r="Q260">
        <v>36</v>
      </c>
    </row>
    <row r="261" spans="1:17" x14ac:dyDescent="0.35">
      <c r="A261" t="s">
        <v>438</v>
      </c>
      <c r="B261" s="1" t="s">
        <v>107</v>
      </c>
      <c r="C261" s="1">
        <v>2019</v>
      </c>
      <c r="D261" s="1">
        <v>2025</v>
      </c>
      <c r="E261">
        <v>75</v>
      </c>
      <c r="F261">
        <v>51</v>
      </c>
      <c r="G261">
        <v>7</v>
      </c>
      <c r="H261">
        <v>877</v>
      </c>
      <c r="I261" s="1" t="s">
        <v>439</v>
      </c>
      <c r="J261">
        <v>19.93</v>
      </c>
      <c r="K261">
        <v>769</v>
      </c>
      <c r="L261">
        <v>114.04</v>
      </c>
      <c r="M261">
        <v>0</v>
      </c>
      <c r="N261">
        <v>4</v>
      </c>
      <c r="O261">
        <v>4</v>
      </c>
      <c r="P261">
        <v>76</v>
      </c>
      <c r="Q261">
        <v>21</v>
      </c>
    </row>
    <row r="262" spans="1:17" x14ac:dyDescent="0.35">
      <c r="A262" t="s">
        <v>496</v>
      </c>
      <c r="B262" s="1" t="s">
        <v>107</v>
      </c>
      <c r="C262" s="1">
        <v>2023</v>
      </c>
      <c r="D262" s="1">
        <v>2025</v>
      </c>
      <c r="E262">
        <v>41</v>
      </c>
      <c r="F262">
        <v>41</v>
      </c>
      <c r="G262">
        <v>5</v>
      </c>
      <c r="H262">
        <v>871</v>
      </c>
      <c r="I262" s="1" t="s">
        <v>51</v>
      </c>
      <c r="J262">
        <v>24.19</v>
      </c>
      <c r="K262">
        <v>584</v>
      </c>
      <c r="L262">
        <v>149.13999999999999</v>
      </c>
      <c r="M262">
        <v>0</v>
      </c>
      <c r="N262">
        <v>3</v>
      </c>
      <c r="O262">
        <v>0</v>
      </c>
      <c r="P262">
        <v>56</v>
      </c>
      <c r="Q262">
        <v>63</v>
      </c>
    </row>
    <row r="263" spans="1:17" x14ac:dyDescent="0.35">
      <c r="A263" t="s">
        <v>441</v>
      </c>
      <c r="B263" s="1" t="s">
        <v>102</v>
      </c>
      <c r="C263" s="1">
        <v>2013</v>
      </c>
      <c r="D263" s="1">
        <v>2025</v>
      </c>
      <c r="E263">
        <v>74</v>
      </c>
      <c r="F263">
        <v>61</v>
      </c>
      <c r="G263">
        <v>8</v>
      </c>
      <c r="H263">
        <v>870</v>
      </c>
      <c r="I263" s="1" t="s">
        <v>442</v>
      </c>
      <c r="J263">
        <v>16.41</v>
      </c>
      <c r="K263">
        <v>682</v>
      </c>
      <c r="L263">
        <v>127.56</v>
      </c>
      <c r="M263">
        <v>0</v>
      </c>
      <c r="N263">
        <v>1</v>
      </c>
      <c r="O263">
        <v>4</v>
      </c>
      <c r="P263">
        <v>57</v>
      </c>
      <c r="Q263">
        <v>44</v>
      </c>
    </row>
    <row r="264" spans="1:17" x14ac:dyDescent="0.35">
      <c r="A264" t="s">
        <v>487</v>
      </c>
      <c r="B264" s="1" t="s">
        <v>106</v>
      </c>
      <c r="C264" s="1">
        <v>2024</v>
      </c>
      <c r="D264" s="1">
        <v>2025</v>
      </c>
      <c r="E264">
        <v>26</v>
      </c>
      <c r="F264">
        <v>25</v>
      </c>
      <c r="G264">
        <v>1</v>
      </c>
      <c r="H264">
        <v>866</v>
      </c>
      <c r="I264" s="1" t="s">
        <v>489</v>
      </c>
      <c r="J264">
        <v>36.08</v>
      </c>
      <c r="K264">
        <v>609</v>
      </c>
      <c r="L264">
        <v>142.19999999999999</v>
      </c>
      <c r="M264">
        <v>1</v>
      </c>
      <c r="N264">
        <v>6</v>
      </c>
      <c r="O264">
        <v>1</v>
      </c>
      <c r="P264">
        <v>74</v>
      </c>
      <c r="Q264">
        <v>46</v>
      </c>
    </row>
    <row r="265" spans="1:17" x14ac:dyDescent="0.35">
      <c r="A265" t="s">
        <v>447</v>
      </c>
      <c r="B265" s="1" t="s">
        <v>117</v>
      </c>
      <c r="C265" s="1">
        <v>2019</v>
      </c>
      <c r="D265" s="1">
        <v>2025</v>
      </c>
      <c r="E265">
        <v>39</v>
      </c>
      <c r="F265">
        <v>36</v>
      </c>
      <c r="G265">
        <v>1</v>
      </c>
      <c r="H265">
        <v>864</v>
      </c>
      <c r="I265" s="1" t="s">
        <v>448</v>
      </c>
      <c r="J265">
        <v>24.68</v>
      </c>
      <c r="K265">
        <v>639</v>
      </c>
      <c r="L265">
        <v>135.21</v>
      </c>
      <c r="M265">
        <v>0</v>
      </c>
      <c r="N265">
        <v>5</v>
      </c>
      <c r="O265">
        <v>1</v>
      </c>
      <c r="P265">
        <v>77</v>
      </c>
      <c r="Q265">
        <v>50</v>
      </c>
    </row>
    <row r="266" spans="1:17" x14ac:dyDescent="0.35">
      <c r="A266" t="s">
        <v>462</v>
      </c>
      <c r="B266" s="1" t="s">
        <v>98</v>
      </c>
      <c r="C266" s="1">
        <v>2019</v>
      </c>
      <c r="D266" s="1">
        <v>2025</v>
      </c>
      <c r="E266">
        <v>38</v>
      </c>
      <c r="F266">
        <v>38</v>
      </c>
      <c r="G266">
        <v>2</v>
      </c>
      <c r="H266">
        <v>860</v>
      </c>
      <c r="I266" s="1" t="s">
        <v>65</v>
      </c>
      <c r="J266">
        <v>23.88</v>
      </c>
      <c r="K266">
        <v>841</v>
      </c>
      <c r="L266">
        <v>102.25</v>
      </c>
      <c r="M266">
        <v>0</v>
      </c>
      <c r="N266">
        <v>4</v>
      </c>
      <c r="O266">
        <v>2</v>
      </c>
      <c r="P266">
        <v>77</v>
      </c>
      <c r="Q266">
        <v>18</v>
      </c>
    </row>
    <row r="267" spans="1:17" x14ac:dyDescent="0.35">
      <c r="A267" t="s">
        <v>650</v>
      </c>
      <c r="B267" s="1" t="s">
        <v>89</v>
      </c>
      <c r="C267" s="1">
        <v>2018</v>
      </c>
      <c r="D267" s="1">
        <v>2025</v>
      </c>
      <c r="E267">
        <v>35</v>
      </c>
      <c r="F267">
        <v>35</v>
      </c>
      <c r="G267">
        <v>1</v>
      </c>
      <c r="H267">
        <v>857</v>
      </c>
      <c r="I267" s="1" t="s">
        <v>266</v>
      </c>
      <c r="J267">
        <v>25.2</v>
      </c>
      <c r="K267">
        <v>667</v>
      </c>
      <c r="L267">
        <v>128.47999999999999</v>
      </c>
      <c r="M267">
        <v>0</v>
      </c>
      <c r="N267">
        <v>7</v>
      </c>
      <c r="O267">
        <v>2</v>
      </c>
      <c r="P267">
        <v>65</v>
      </c>
      <c r="Q267">
        <v>49</v>
      </c>
    </row>
    <row r="268" spans="1:17" x14ac:dyDescent="0.35">
      <c r="A268" t="s">
        <v>440</v>
      </c>
      <c r="B268" s="1" t="s">
        <v>305</v>
      </c>
      <c r="C268" s="1">
        <v>2021</v>
      </c>
      <c r="D268" s="1">
        <v>2025</v>
      </c>
      <c r="E268">
        <v>29</v>
      </c>
      <c r="F268">
        <v>29</v>
      </c>
      <c r="G268">
        <v>4</v>
      </c>
      <c r="H268">
        <v>852</v>
      </c>
      <c r="I268" s="1" t="s">
        <v>45</v>
      </c>
      <c r="J268">
        <v>34.08</v>
      </c>
      <c r="K268">
        <v>663</v>
      </c>
      <c r="L268">
        <v>128.5</v>
      </c>
      <c r="M268">
        <v>0</v>
      </c>
      <c r="N268">
        <v>7</v>
      </c>
      <c r="O268">
        <v>3</v>
      </c>
      <c r="P268">
        <v>82</v>
      </c>
      <c r="Q268">
        <v>35</v>
      </c>
    </row>
    <row r="269" spans="1:17" x14ac:dyDescent="0.35">
      <c r="A269" t="s">
        <v>453</v>
      </c>
      <c r="B269" s="1" t="s">
        <v>249</v>
      </c>
      <c r="C269" s="1">
        <v>2019</v>
      </c>
      <c r="D269" s="1">
        <v>2025</v>
      </c>
      <c r="E269">
        <v>53</v>
      </c>
      <c r="F269">
        <v>46</v>
      </c>
      <c r="G269">
        <v>9</v>
      </c>
      <c r="H269">
        <v>850</v>
      </c>
      <c r="I269" s="1" t="s">
        <v>81</v>
      </c>
      <c r="J269">
        <v>22.97</v>
      </c>
      <c r="K269">
        <v>891</v>
      </c>
      <c r="L269">
        <v>95.39</v>
      </c>
      <c r="M269">
        <v>0</v>
      </c>
      <c r="N269">
        <v>3</v>
      </c>
      <c r="O269">
        <v>3</v>
      </c>
      <c r="P269">
        <v>66</v>
      </c>
      <c r="Q269">
        <v>15</v>
      </c>
    </row>
    <row r="270" spans="1:17" x14ac:dyDescent="0.35">
      <c r="A270" t="s">
        <v>499</v>
      </c>
      <c r="B270" s="1" t="s">
        <v>104</v>
      </c>
      <c r="C270" s="1">
        <v>2022</v>
      </c>
      <c r="D270" s="1">
        <v>2025</v>
      </c>
      <c r="E270">
        <v>65</v>
      </c>
      <c r="F270">
        <v>45</v>
      </c>
      <c r="G270">
        <v>11</v>
      </c>
      <c r="H270">
        <v>850</v>
      </c>
      <c r="I270" s="1" t="s">
        <v>187</v>
      </c>
      <c r="J270">
        <v>25</v>
      </c>
      <c r="K270">
        <v>646</v>
      </c>
      <c r="L270">
        <v>131.57</v>
      </c>
      <c r="M270">
        <v>0</v>
      </c>
      <c r="N270">
        <v>5</v>
      </c>
      <c r="O270">
        <v>3</v>
      </c>
      <c r="P270">
        <v>66</v>
      </c>
      <c r="Q270">
        <v>31</v>
      </c>
    </row>
    <row r="271" spans="1:17" x14ac:dyDescent="0.35">
      <c r="A271" t="s">
        <v>651</v>
      </c>
      <c r="B271" s="1" t="s">
        <v>92</v>
      </c>
      <c r="C271" s="1">
        <v>2015</v>
      </c>
      <c r="D271" s="1">
        <v>2025</v>
      </c>
      <c r="E271">
        <v>122</v>
      </c>
      <c r="F271">
        <v>80</v>
      </c>
      <c r="G271">
        <v>34</v>
      </c>
      <c r="H271">
        <v>848</v>
      </c>
      <c r="I271" s="1" t="s">
        <v>301</v>
      </c>
      <c r="J271">
        <v>18.43</v>
      </c>
      <c r="K271">
        <v>666</v>
      </c>
      <c r="L271">
        <v>127.32</v>
      </c>
      <c r="M271">
        <v>0</v>
      </c>
      <c r="N271">
        <v>2</v>
      </c>
      <c r="O271">
        <v>5</v>
      </c>
      <c r="P271">
        <v>67</v>
      </c>
      <c r="Q271">
        <v>31</v>
      </c>
    </row>
    <row r="272" spans="1:17" x14ac:dyDescent="0.35">
      <c r="A272" t="s">
        <v>443</v>
      </c>
      <c r="B272" s="1" t="s">
        <v>108</v>
      </c>
      <c r="C272" s="1">
        <v>2015</v>
      </c>
      <c r="D272" s="1">
        <v>2024</v>
      </c>
      <c r="E272">
        <v>45</v>
      </c>
      <c r="F272">
        <v>44</v>
      </c>
      <c r="G272">
        <v>4</v>
      </c>
      <c r="H272">
        <v>847</v>
      </c>
      <c r="I272" s="1" t="s">
        <v>245</v>
      </c>
      <c r="J272">
        <v>21.17</v>
      </c>
      <c r="K272">
        <v>731</v>
      </c>
      <c r="L272">
        <v>115.86</v>
      </c>
      <c r="M272">
        <v>0</v>
      </c>
      <c r="N272">
        <v>3</v>
      </c>
      <c r="O272">
        <v>2</v>
      </c>
      <c r="P272">
        <v>71</v>
      </c>
      <c r="Q272">
        <v>18</v>
      </c>
    </row>
    <row r="273" spans="1:17" x14ac:dyDescent="0.35">
      <c r="A273" t="s">
        <v>501</v>
      </c>
      <c r="B273" s="1" t="s">
        <v>433</v>
      </c>
      <c r="C273" s="1">
        <v>2022</v>
      </c>
      <c r="D273" s="1">
        <v>2025</v>
      </c>
      <c r="E273">
        <v>36</v>
      </c>
      <c r="F273">
        <v>36</v>
      </c>
      <c r="G273">
        <v>3</v>
      </c>
      <c r="H273">
        <v>844</v>
      </c>
      <c r="I273" s="1" t="s">
        <v>418</v>
      </c>
      <c r="J273">
        <v>25.57</v>
      </c>
      <c r="K273">
        <v>830</v>
      </c>
      <c r="L273">
        <v>101.68</v>
      </c>
      <c r="M273">
        <v>0</v>
      </c>
      <c r="N273">
        <v>3</v>
      </c>
      <c r="O273">
        <v>4</v>
      </c>
      <c r="P273">
        <v>74</v>
      </c>
      <c r="Q273">
        <v>13</v>
      </c>
    </row>
    <row r="274" spans="1:17" x14ac:dyDescent="0.35">
      <c r="A274" t="s">
        <v>445</v>
      </c>
      <c r="B274" s="1" t="s">
        <v>228</v>
      </c>
      <c r="C274" s="1">
        <v>2021</v>
      </c>
      <c r="D274" s="1">
        <v>2024</v>
      </c>
      <c r="E274">
        <v>47</v>
      </c>
      <c r="F274">
        <v>46</v>
      </c>
      <c r="G274">
        <v>5</v>
      </c>
      <c r="H274">
        <v>843</v>
      </c>
      <c r="I274" s="1" t="s">
        <v>206</v>
      </c>
      <c r="J274">
        <v>20.56</v>
      </c>
      <c r="K274">
        <v>780</v>
      </c>
      <c r="L274">
        <v>108.07</v>
      </c>
      <c r="M274">
        <v>0</v>
      </c>
      <c r="N274">
        <v>6</v>
      </c>
      <c r="O274">
        <v>5</v>
      </c>
      <c r="P274">
        <v>83</v>
      </c>
      <c r="Q274">
        <v>26</v>
      </c>
    </row>
    <row r="275" spans="1:17" x14ac:dyDescent="0.35">
      <c r="A275" t="s">
        <v>446</v>
      </c>
      <c r="B275" s="1" t="s">
        <v>305</v>
      </c>
      <c r="C275" s="1">
        <v>2019</v>
      </c>
      <c r="D275" s="1">
        <v>2023</v>
      </c>
      <c r="E275">
        <v>29</v>
      </c>
      <c r="F275">
        <v>29</v>
      </c>
      <c r="G275">
        <v>4</v>
      </c>
      <c r="H275">
        <v>842</v>
      </c>
      <c r="I275" s="1" t="s">
        <v>68</v>
      </c>
      <c r="J275">
        <v>33.68</v>
      </c>
      <c r="K275">
        <v>566</v>
      </c>
      <c r="L275">
        <v>148.76</v>
      </c>
      <c r="M275">
        <v>1</v>
      </c>
      <c r="N275">
        <v>4</v>
      </c>
      <c r="O275">
        <v>4</v>
      </c>
      <c r="P275">
        <v>70</v>
      </c>
      <c r="Q275">
        <v>48</v>
      </c>
    </row>
    <row r="276" spans="1:17" x14ac:dyDescent="0.35">
      <c r="A276" t="s">
        <v>633</v>
      </c>
      <c r="B276" s="1" t="s">
        <v>89</v>
      </c>
      <c r="C276" s="1">
        <v>2016</v>
      </c>
      <c r="D276" s="1">
        <v>2025</v>
      </c>
      <c r="E276">
        <v>86</v>
      </c>
      <c r="F276">
        <v>60</v>
      </c>
      <c r="G276">
        <v>15</v>
      </c>
      <c r="H276">
        <v>839</v>
      </c>
      <c r="I276" s="1" t="s">
        <v>634</v>
      </c>
      <c r="J276">
        <v>18.64</v>
      </c>
      <c r="K276">
        <v>617</v>
      </c>
      <c r="L276">
        <v>135.97999999999999</v>
      </c>
      <c r="M276">
        <v>0</v>
      </c>
      <c r="N276">
        <v>0</v>
      </c>
      <c r="O276">
        <v>7</v>
      </c>
      <c r="P276">
        <v>62</v>
      </c>
      <c r="Q276">
        <v>45</v>
      </c>
    </row>
    <row r="277" spans="1:17" x14ac:dyDescent="0.35">
      <c r="A277" t="s">
        <v>652</v>
      </c>
      <c r="B277" s="1" t="s">
        <v>88</v>
      </c>
      <c r="C277" s="1">
        <v>2023</v>
      </c>
      <c r="D277" s="1">
        <v>2025</v>
      </c>
      <c r="E277">
        <v>33</v>
      </c>
      <c r="F277">
        <v>33</v>
      </c>
      <c r="G277">
        <v>5</v>
      </c>
      <c r="H277">
        <v>837</v>
      </c>
      <c r="I277" s="1" t="s">
        <v>653</v>
      </c>
      <c r="J277">
        <v>29.89</v>
      </c>
      <c r="K277">
        <v>596</v>
      </c>
      <c r="L277">
        <v>140.43</v>
      </c>
      <c r="M277">
        <v>1</v>
      </c>
      <c r="N277">
        <v>3</v>
      </c>
      <c r="O277">
        <v>1</v>
      </c>
      <c r="P277">
        <v>92</v>
      </c>
      <c r="Q277">
        <v>26</v>
      </c>
    </row>
    <row r="278" spans="1:17" x14ac:dyDescent="0.35">
      <c r="A278" t="s">
        <v>483</v>
      </c>
      <c r="B278" s="1" t="s">
        <v>484</v>
      </c>
      <c r="C278" s="1">
        <v>2022</v>
      </c>
      <c r="D278" s="1">
        <v>2025</v>
      </c>
      <c r="E278">
        <v>23</v>
      </c>
      <c r="F278">
        <v>23</v>
      </c>
      <c r="G278">
        <v>1</v>
      </c>
      <c r="H278">
        <v>830</v>
      </c>
      <c r="I278" s="1" t="s">
        <v>485</v>
      </c>
      <c r="J278">
        <v>37.72</v>
      </c>
      <c r="K278">
        <v>576</v>
      </c>
      <c r="L278">
        <v>144.09</v>
      </c>
      <c r="M278">
        <v>2</v>
      </c>
      <c r="N278">
        <v>4</v>
      </c>
      <c r="O278">
        <v>1</v>
      </c>
      <c r="P278">
        <v>72</v>
      </c>
      <c r="Q278">
        <v>42</v>
      </c>
    </row>
    <row r="279" spans="1:17" x14ac:dyDescent="0.35">
      <c r="A279" t="s">
        <v>517</v>
      </c>
      <c r="B279" s="1" t="s">
        <v>482</v>
      </c>
      <c r="C279" s="1">
        <v>2022</v>
      </c>
      <c r="D279" s="1">
        <v>2025</v>
      </c>
      <c r="E279">
        <v>77</v>
      </c>
      <c r="F279">
        <v>60</v>
      </c>
      <c r="G279">
        <v>18</v>
      </c>
      <c r="H279">
        <v>828</v>
      </c>
      <c r="I279" s="1" t="s">
        <v>518</v>
      </c>
      <c r="J279">
        <v>19.71</v>
      </c>
      <c r="K279">
        <v>917</v>
      </c>
      <c r="L279">
        <v>90.29</v>
      </c>
      <c r="M279">
        <v>0</v>
      </c>
      <c r="N279">
        <v>0</v>
      </c>
      <c r="O279">
        <v>3</v>
      </c>
      <c r="P279">
        <v>62</v>
      </c>
      <c r="Q279">
        <v>29</v>
      </c>
    </row>
    <row r="280" spans="1:17" x14ac:dyDescent="0.35">
      <c r="A280" t="s">
        <v>449</v>
      </c>
      <c r="B280" s="1" t="s">
        <v>212</v>
      </c>
      <c r="C280" s="1">
        <v>2019</v>
      </c>
      <c r="D280" s="1">
        <v>2024</v>
      </c>
      <c r="E280">
        <v>56</v>
      </c>
      <c r="F280">
        <v>51</v>
      </c>
      <c r="G280">
        <v>9</v>
      </c>
      <c r="H280">
        <v>826</v>
      </c>
      <c r="I280" s="1" t="s">
        <v>245</v>
      </c>
      <c r="J280">
        <v>19.66</v>
      </c>
      <c r="K280">
        <v>911</v>
      </c>
      <c r="L280">
        <v>90.66</v>
      </c>
      <c r="M280">
        <v>0</v>
      </c>
      <c r="N280">
        <v>3</v>
      </c>
      <c r="O280">
        <v>2</v>
      </c>
      <c r="P280">
        <v>74</v>
      </c>
      <c r="Q280">
        <v>20</v>
      </c>
    </row>
    <row r="281" spans="1:17" x14ac:dyDescent="0.35">
      <c r="A281" t="s">
        <v>464</v>
      </c>
      <c r="B281" s="1" t="s">
        <v>176</v>
      </c>
      <c r="C281" s="1">
        <v>2022</v>
      </c>
      <c r="D281" s="1">
        <v>2025</v>
      </c>
      <c r="E281">
        <v>42</v>
      </c>
      <c r="F281">
        <v>42</v>
      </c>
      <c r="G281">
        <v>3</v>
      </c>
      <c r="H281">
        <v>825</v>
      </c>
      <c r="I281" s="1" t="s">
        <v>465</v>
      </c>
      <c r="J281">
        <v>21.15</v>
      </c>
      <c r="K281">
        <v>627</v>
      </c>
      <c r="L281">
        <v>131.57</v>
      </c>
      <c r="M281">
        <v>1</v>
      </c>
      <c r="N281">
        <v>4</v>
      </c>
      <c r="O281">
        <v>7</v>
      </c>
      <c r="P281">
        <v>83</v>
      </c>
      <c r="Q281">
        <v>33</v>
      </c>
    </row>
    <row r="282" spans="1:17" x14ac:dyDescent="0.35">
      <c r="A282" t="s">
        <v>515</v>
      </c>
      <c r="B282" s="1" t="s">
        <v>516</v>
      </c>
      <c r="C282" s="1">
        <v>2022</v>
      </c>
      <c r="D282" s="1">
        <v>2025</v>
      </c>
      <c r="E282">
        <v>25</v>
      </c>
      <c r="F282">
        <v>25</v>
      </c>
      <c r="G282">
        <v>1</v>
      </c>
      <c r="H282">
        <v>823</v>
      </c>
      <c r="I282" s="1" t="s">
        <v>119</v>
      </c>
      <c r="J282">
        <v>34.29</v>
      </c>
      <c r="K282">
        <v>510</v>
      </c>
      <c r="L282">
        <v>161.37</v>
      </c>
      <c r="M282">
        <v>0</v>
      </c>
      <c r="N282">
        <v>8</v>
      </c>
      <c r="O282">
        <v>2</v>
      </c>
      <c r="P282">
        <v>87</v>
      </c>
      <c r="Q282">
        <v>43</v>
      </c>
    </row>
    <row r="283" spans="1:17" x14ac:dyDescent="0.35">
      <c r="A283" t="s">
        <v>456</v>
      </c>
      <c r="B283" s="1" t="s">
        <v>412</v>
      </c>
      <c r="C283" s="1">
        <v>2019</v>
      </c>
      <c r="D283" s="1">
        <v>2025</v>
      </c>
      <c r="E283">
        <v>32</v>
      </c>
      <c r="F283">
        <v>29</v>
      </c>
      <c r="G283">
        <v>3</v>
      </c>
      <c r="H283">
        <v>822</v>
      </c>
      <c r="I283" s="1" t="s">
        <v>23</v>
      </c>
      <c r="J283">
        <v>31.61</v>
      </c>
      <c r="K283">
        <v>615</v>
      </c>
      <c r="L283">
        <v>133.65</v>
      </c>
      <c r="M283">
        <v>1</v>
      </c>
      <c r="N283">
        <v>4</v>
      </c>
      <c r="O283">
        <v>3</v>
      </c>
      <c r="P283">
        <v>90</v>
      </c>
      <c r="Q283">
        <v>35</v>
      </c>
    </row>
    <row r="284" spans="1:17" x14ac:dyDescent="0.35">
      <c r="A284" t="s">
        <v>526</v>
      </c>
      <c r="B284" s="1" t="s">
        <v>105</v>
      </c>
      <c r="C284" s="1">
        <v>2022</v>
      </c>
      <c r="D284" s="1">
        <v>2025</v>
      </c>
      <c r="E284">
        <v>68</v>
      </c>
      <c r="F284">
        <v>57</v>
      </c>
      <c r="G284">
        <v>8</v>
      </c>
      <c r="H284">
        <v>821</v>
      </c>
      <c r="I284" s="1" t="s">
        <v>442</v>
      </c>
      <c r="J284">
        <v>16.75</v>
      </c>
      <c r="K284">
        <v>720</v>
      </c>
      <c r="L284">
        <v>114.02</v>
      </c>
      <c r="M284">
        <v>0</v>
      </c>
      <c r="N284">
        <v>2</v>
      </c>
      <c r="O284">
        <v>1</v>
      </c>
      <c r="P284">
        <v>59</v>
      </c>
      <c r="Q284">
        <v>33</v>
      </c>
    </row>
    <row r="285" spans="1:17" x14ac:dyDescent="0.35">
      <c r="A285" t="s">
        <v>457</v>
      </c>
      <c r="B285" s="1" t="s">
        <v>89</v>
      </c>
      <c r="C285" s="1">
        <v>2010</v>
      </c>
      <c r="D285" s="1">
        <v>2021</v>
      </c>
      <c r="E285">
        <v>61</v>
      </c>
      <c r="F285">
        <v>42</v>
      </c>
      <c r="G285">
        <v>12</v>
      </c>
      <c r="H285">
        <v>818</v>
      </c>
      <c r="I285" s="1" t="s">
        <v>158</v>
      </c>
      <c r="J285">
        <v>27.26</v>
      </c>
      <c r="K285">
        <v>653</v>
      </c>
      <c r="L285">
        <v>125.26</v>
      </c>
      <c r="M285">
        <v>0</v>
      </c>
      <c r="N285">
        <v>3</v>
      </c>
      <c r="O285">
        <v>2</v>
      </c>
      <c r="P285">
        <v>79</v>
      </c>
      <c r="Q285">
        <v>15</v>
      </c>
    </row>
    <row r="286" spans="1:17" x14ac:dyDescent="0.35">
      <c r="A286" t="s">
        <v>459</v>
      </c>
      <c r="B286" s="1" t="s">
        <v>95</v>
      </c>
      <c r="C286" s="1">
        <v>2018</v>
      </c>
      <c r="D286" s="1">
        <v>2022</v>
      </c>
      <c r="E286">
        <v>31</v>
      </c>
      <c r="F286">
        <v>31</v>
      </c>
      <c r="G286">
        <v>3</v>
      </c>
      <c r="H286">
        <v>817</v>
      </c>
      <c r="I286" s="1" t="s">
        <v>448</v>
      </c>
      <c r="J286">
        <v>29.17</v>
      </c>
      <c r="K286">
        <v>708</v>
      </c>
      <c r="L286">
        <v>115.39</v>
      </c>
      <c r="M286">
        <v>0</v>
      </c>
      <c r="N286">
        <v>7</v>
      </c>
      <c r="O286">
        <v>2</v>
      </c>
      <c r="P286">
        <v>84</v>
      </c>
      <c r="Q286">
        <v>18</v>
      </c>
    </row>
    <row r="287" spans="1:17" x14ac:dyDescent="0.35">
      <c r="A287" t="s">
        <v>461</v>
      </c>
      <c r="B287" s="1" t="s">
        <v>164</v>
      </c>
      <c r="C287" s="1">
        <v>2019</v>
      </c>
      <c r="D287" s="1">
        <v>2025</v>
      </c>
      <c r="E287">
        <v>47</v>
      </c>
      <c r="F287">
        <v>43</v>
      </c>
      <c r="G287">
        <v>5</v>
      </c>
      <c r="H287">
        <v>817</v>
      </c>
      <c r="I287" s="1" t="s">
        <v>23</v>
      </c>
      <c r="J287">
        <v>21.5</v>
      </c>
      <c r="K287">
        <v>679</v>
      </c>
      <c r="L287">
        <v>120.32</v>
      </c>
      <c r="M287">
        <v>1</v>
      </c>
      <c r="N287">
        <v>2</v>
      </c>
      <c r="O287">
        <v>6</v>
      </c>
      <c r="P287">
        <v>81</v>
      </c>
      <c r="Q287">
        <v>38</v>
      </c>
    </row>
    <row r="288" spans="1:17" x14ac:dyDescent="0.35">
      <c r="A288" t="s">
        <v>463</v>
      </c>
      <c r="B288" s="1" t="s">
        <v>106</v>
      </c>
      <c r="C288" s="1">
        <v>2012</v>
      </c>
      <c r="D288" s="1">
        <v>2024</v>
      </c>
      <c r="E288">
        <v>46</v>
      </c>
      <c r="F288">
        <v>44</v>
      </c>
      <c r="G288">
        <v>7</v>
      </c>
      <c r="H288">
        <v>812</v>
      </c>
      <c r="I288" s="1" t="s">
        <v>167</v>
      </c>
      <c r="J288">
        <v>21.94</v>
      </c>
      <c r="K288">
        <v>706</v>
      </c>
      <c r="L288">
        <v>115.01</v>
      </c>
      <c r="M288">
        <v>0</v>
      </c>
      <c r="N288">
        <v>4</v>
      </c>
      <c r="O288">
        <v>4</v>
      </c>
      <c r="P288">
        <v>71</v>
      </c>
      <c r="Q288">
        <v>21</v>
      </c>
    </row>
    <row r="289" spans="1:17" x14ac:dyDescent="0.35">
      <c r="A289" t="s">
        <v>654</v>
      </c>
      <c r="B289" s="1" t="s">
        <v>101</v>
      </c>
      <c r="C289" s="1">
        <v>2020</v>
      </c>
      <c r="D289" s="1">
        <v>2025</v>
      </c>
      <c r="E289">
        <v>71</v>
      </c>
      <c r="F289">
        <v>49</v>
      </c>
      <c r="G289">
        <v>18</v>
      </c>
      <c r="H289">
        <v>808</v>
      </c>
      <c r="I289" s="1" t="s">
        <v>655</v>
      </c>
      <c r="J289">
        <v>26.06</v>
      </c>
      <c r="K289">
        <v>561</v>
      </c>
      <c r="L289">
        <v>144.02000000000001</v>
      </c>
      <c r="M289">
        <v>0</v>
      </c>
      <c r="N289">
        <v>0</v>
      </c>
      <c r="O289">
        <v>4</v>
      </c>
      <c r="P289">
        <v>47</v>
      </c>
      <c r="Q289">
        <v>58</v>
      </c>
    </row>
    <row r="290" spans="1:17" x14ac:dyDescent="0.35">
      <c r="A290" t="s">
        <v>466</v>
      </c>
      <c r="B290" s="1" t="s">
        <v>104</v>
      </c>
      <c r="C290" s="1">
        <v>2021</v>
      </c>
      <c r="D290" s="1">
        <v>2024</v>
      </c>
      <c r="E290">
        <v>42</v>
      </c>
      <c r="F290">
        <v>39</v>
      </c>
      <c r="G290">
        <v>8</v>
      </c>
      <c r="H290">
        <v>805</v>
      </c>
      <c r="I290" s="1" t="s">
        <v>467</v>
      </c>
      <c r="J290">
        <v>25.96</v>
      </c>
      <c r="K290">
        <v>779</v>
      </c>
      <c r="L290">
        <v>103.33</v>
      </c>
      <c r="M290">
        <v>0</v>
      </c>
      <c r="N290">
        <v>4</v>
      </c>
      <c r="O290">
        <v>3</v>
      </c>
      <c r="P290">
        <v>96</v>
      </c>
      <c r="Q290">
        <v>8</v>
      </c>
    </row>
    <row r="291" spans="1:17" x14ac:dyDescent="0.35">
      <c r="A291" t="s">
        <v>468</v>
      </c>
      <c r="B291" s="1" t="s">
        <v>164</v>
      </c>
      <c r="C291" s="1">
        <v>2019</v>
      </c>
      <c r="D291" s="1">
        <v>2022</v>
      </c>
      <c r="E291">
        <v>35</v>
      </c>
      <c r="F291">
        <v>33</v>
      </c>
      <c r="G291">
        <v>4</v>
      </c>
      <c r="H291">
        <v>805</v>
      </c>
      <c r="I291" s="1" t="s">
        <v>65</v>
      </c>
      <c r="J291">
        <v>27.75</v>
      </c>
      <c r="K291">
        <v>713</v>
      </c>
      <c r="L291">
        <v>112.9</v>
      </c>
      <c r="M291">
        <v>0</v>
      </c>
      <c r="N291">
        <v>6</v>
      </c>
      <c r="O291">
        <v>3</v>
      </c>
      <c r="P291">
        <v>69</v>
      </c>
      <c r="Q291">
        <v>23</v>
      </c>
    </row>
    <row r="292" spans="1:17" x14ac:dyDescent="0.35">
      <c r="A292" t="s">
        <v>520</v>
      </c>
      <c r="B292" s="1" t="s">
        <v>162</v>
      </c>
      <c r="C292" s="1">
        <v>2023</v>
      </c>
      <c r="D292" s="1">
        <v>2025</v>
      </c>
      <c r="E292">
        <v>47</v>
      </c>
      <c r="F292">
        <v>43</v>
      </c>
      <c r="G292">
        <v>8</v>
      </c>
      <c r="H292">
        <v>803</v>
      </c>
      <c r="I292" s="1" t="s">
        <v>521</v>
      </c>
      <c r="J292">
        <v>22.94</v>
      </c>
      <c r="K292">
        <v>564</v>
      </c>
      <c r="L292">
        <v>142.37</v>
      </c>
      <c r="M292">
        <v>0</v>
      </c>
      <c r="N292">
        <v>1</v>
      </c>
      <c r="O292">
        <v>4</v>
      </c>
      <c r="P292">
        <v>38</v>
      </c>
      <c r="Q292">
        <v>56</v>
      </c>
    </row>
    <row r="293" spans="1:17" x14ac:dyDescent="0.35">
      <c r="A293" t="s">
        <v>470</v>
      </c>
      <c r="B293" s="1" t="s">
        <v>111</v>
      </c>
      <c r="C293" s="1">
        <v>2014</v>
      </c>
      <c r="D293" s="1">
        <v>2020</v>
      </c>
      <c r="E293">
        <v>33</v>
      </c>
      <c r="F293">
        <v>32</v>
      </c>
      <c r="G293">
        <v>3</v>
      </c>
      <c r="H293">
        <v>799</v>
      </c>
      <c r="I293" s="1" t="s">
        <v>41</v>
      </c>
      <c r="J293">
        <v>27.55</v>
      </c>
      <c r="K293">
        <v>624</v>
      </c>
      <c r="L293">
        <v>128.04</v>
      </c>
      <c r="M293">
        <v>1</v>
      </c>
      <c r="N293">
        <v>4</v>
      </c>
      <c r="O293">
        <v>3</v>
      </c>
      <c r="P293">
        <v>82</v>
      </c>
      <c r="Q293">
        <v>26</v>
      </c>
    </row>
    <row r="294" spans="1:17" x14ac:dyDescent="0.35">
      <c r="A294" t="s">
        <v>522</v>
      </c>
      <c r="B294" s="1" t="s">
        <v>97</v>
      </c>
      <c r="C294" s="1">
        <v>2022</v>
      </c>
      <c r="D294" s="1">
        <v>2025</v>
      </c>
      <c r="E294">
        <v>40</v>
      </c>
      <c r="F294">
        <v>34</v>
      </c>
      <c r="G294">
        <v>6</v>
      </c>
      <c r="H294">
        <v>799</v>
      </c>
      <c r="I294" s="1" t="s">
        <v>523</v>
      </c>
      <c r="J294">
        <v>28.53</v>
      </c>
      <c r="K294">
        <v>600</v>
      </c>
      <c r="L294">
        <v>133.16</v>
      </c>
      <c r="M294">
        <v>0</v>
      </c>
      <c r="N294">
        <v>2</v>
      </c>
      <c r="O294">
        <v>3</v>
      </c>
      <c r="P294">
        <v>68</v>
      </c>
      <c r="Q294">
        <v>30</v>
      </c>
    </row>
    <row r="295" spans="1:17" x14ac:dyDescent="0.35">
      <c r="A295" t="s">
        <v>472</v>
      </c>
      <c r="B295" s="1" t="s">
        <v>127</v>
      </c>
      <c r="C295" s="1">
        <v>2007</v>
      </c>
      <c r="D295" s="1">
        <v>2023</v>
      </c>
      <c r="E295">
        <v>51</v>
      </c>
      <c r="F295">
        <v>47</v>
      </c>
      <c r="G295">
        <v>4</v>
      </c>
      <c r="H295">
        <v>797</v>
      </c>
      <c r="I295" s="1" t="s">
        <v>83</v>
      </c>
      <c r="J295">
        <v>18.53</v>
      </c>
      <c r="K295">
        <v>670</v>
      </c>
      <c r="L295">
        <v>118.95</v>
      </c>
      <c r="M295">
        <v>1</v>
      </c>
      <c r="N295">
        <v>1</v>
      </c>
      <c r="O295">
        <v>6</v>
      </c>
      <c r="P295">
        <v>100</v>
      </c>
      <c r="Q295">
        <v>25</v>
      </c>
    </row>
    <row r="296" spans="1:17" x14ac:dyDescent="0.35">
      <c r="A296" t="s">
        <v>474</v>
      </c>
      <c r="B296" s="1" t="s">
        <v>88</v>
      </c>
      <c r="C296" s="1">
        <v>2021</v>
      </c>
      <c r="D296" s="1">
        <v>2023</v>
      </c>
      <c r="E296">
        <v>32</v>
      </c>
      <c r="F296">
        <v>32</v>
      </c>
      <c r="G296">
        <v>1</v>
      </c>
      <c r="H296">
        <v>796</v>
      </c>
      <c r="I296" s="1" t="s">
        <v>60</v>
      </c>
      <c r="J296">
        <v>25.67</v>
      </c>
      <c r="K296">
        <v>640</v>
      </c>
      <c r="L296">
        <v>124.37</v>
      </c>
      <c r="M296">
        <v>0</v>
      </c>
      <c r="N296">
        <v>6</v>
      </c>
      <c r="O296">
        <v>1</v>
      </c>
      <c r="P296">
        <v>79</v>
      </c>
      <c r="Q296">
        <v>36</v>
      </c>
    </row>
    <row r="297" spans="1:17" x14ac:dyDescent="0.35">
      <c r="A297" t="s">
        <v>524</v>
      </c>
      <c r="B297" s="1" t="s">
        <v>525</v>
      </c>
      <c r="C297" s="1">
        <v>2019</v>
      </c>
      <c r="D297" s="1">
        <v>2025</v>
      </c>
      <c r="E297">
        <v>28</v>
      </c>
      <c r="F297">
        <v>27</v>
      </c>
      <c r="G297">
        <v>3</v>
      </c>
      <c r="H297">
        <v>796</v>
      </c>
      <c r="I297" s="1" t="s">
        <v>31</v>
      </c>
      <c r="J297">
        <v>33.159999999999997</v>
      </c>
      <c r="K297">
        <v>667</v>
      </c>
      <c r="L297">
        <v>119.34</v>
      </c>
      <c r="M297">
        <v>1</v>
      </c>
      <c r="N297">
        <v>4</v>
      </c>
      <c r="O297">
        <v>0</v>
      </c>
      <c r="P297">
        <v>75</v>
      </c>
      <c r="Q297">
        <v>24</v>
      </c>
    </row>
    <row r="298" spans="1:17" x14ac:dyDescent="0.35">
      <c r="A298" t="s">
        <v>477</v>
      </c>
      <c r="B298" s="1" t="s">
        <v>451</v>
      </c>
      <c r="C298" s="1">
        <v>2020</v>
      </c>
      <c r="D298" s="1">
        <v>2022</v>
      </c>
      <c r="E298">
        <v>35</v>
      </c>
      <c r="F298">
        <v>34</v>
      </c>
      <c r="G298">
        <v>2</v>
      </c>
      <c r="H298">
        <v>795</v>
      </c>
      <c r="I298" s="1" t="s">
        <v>31</v>
      </c>
      <c r="J298">
        <v>24.84</v>
      </c>
      <c r="K298">
        <v>690</v>
      </c>
      <c r="L298">
        <v>115.21</v>
      </c>
      <c r="M298">
        <v>1</v>
      </c>
      <c r="N298">
        <v>4</v>
      </c>
      <c r="O298">
        <v>3</v>
      </c>
      <c r="P298">
        <v>72</v>
      </c>
      <c r="Q298">
        <v>37</v>
      </c>
    </row>
    <row r="299" spans="1:17" x14ac:dyDescent="0.35">
      <c r="A299" t="s">
        <v>491</v>
      </c>
      <c r="B299" s="1" t="s">
        <v>95</v>
      </c>
      <c r="C299" s="1">
        <v>2020</v>
      </c>
      <c r="D299" s="1">
        <v>2025</v>
      </c>
      <c r="E299">
        <v>64</v>
      </c>
      <c r="F299">
        <v>53</v>
      </c>
      <c r="G299">
        <v>17</v>
      </c>
      <c r="H299">
        <v>794</v>
      </c>
      <c r="I299" s="1" t="s">
        <v>492</v>
      </c>
      <c r="J299">
        <v>22.05</v>
      </c>
      <c r="K299">
        <v>625</v>
      </c>
      <c r="L299">
        <v>127.04</v>
      </c>
      <c r="M299">
        <v>0</v>
      </c>
      <c r="N299">
        <v>2</v>
      </c>
      <c r="O299">
        <v>3</v>
      </c>
      <c r="P299">
        <v>42</v>
      </c>
      <c r="Q299">
        <v>41</v>
      </c>
    </row>
    <row r="300" spans="1:17" x14ac:dyDescent="0.35">
      <c r="A300" t="s">
        <v>527</v>
      </c>
      <c r="B300" s="1" t="s">
        <v>528</v>
      </c>
      <c r="C300" s="1">
        <v>2021</v>
      </c>
      <c r="D300" s="1">
        <v>2025</v>
      </c>
      <c r="E300">
        <v>27</v>
      </c>
      <c r="F300">
        <v>27</v>
      </c>
      <c r="G300">
        <v>1</v>
      </c>
      <c r="H300">
        <v>793</v>
      </c>
      <c r="I300" s="1" t="s">
        <v>253</v>
      </c>
      <c r="J300">
        <v>30.5</v>
      </c>
      <c r="K300">
        <v>508</v>
      </c>
      <c r="L300">
        <v>156.1</v>
      </c>
      <c r="M300">
        <v>1</v>
      </c>
      <c r="N300">
        <v>5</v>
      </c>
      <c r="O300">
        <v>1</v>
      </c>
      <c r="P300">
        <v>83</v>
      </c>
      <c r="Q300">
        <v>42</v>
      </c>
    </row>
    <row r="301" spans="1:17" x14ac:dyDescent="0.35">
      <c r="A301" t="s">
        <v>479</v>
      </c>
      <c r="B301" s="1" t="s">
        <v>89</v>
      </c>
      <c r="C301" s="1">
        <v>2017</v>
      </c>
      <c r="D301" s="1">
        <v>2025</v>
      </c>
      <c r="E301">
        <v>112</v>
      </c>
      <c r="F301">
        <v>58</v>
      </c>
      <c r="G301">
        <v>14</v>
      </c>
      <c r="H301">
        <v>792</v>
      </c>
      <c r="I301" s="1" t="s">
        <v>480</v>
      </c>
      <c r="J301">
        <v>18</v>
      </c>
      <c r="K301">
        <v>565</v>
      </c>
      <c r="L301">
        <v>140.16999999999999</v>
      </c>
      <c r="M301">
        <v>0</v>
      </c>
      <c r="N301">
        <v>1</v>
      </c>
      <c r="O301">
        <v>6</v>
      </c>
      <c r="P301">
        <v>56</v>
      </c>
      <c r="Q301">
        <v>38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8FB-CCB8-4503-9FEE-64D838663DA8}">
  <dimension ref="A1:D61"/>
  <sheetViews>
    <sheetView tabSelected="1" topLeftCell="A34" workbookViewId="0">
      <selection activeCell="B60" sqref="B60"/>
    </sheetView>
  </sheetViews>
  <sheetFormatPr defaultRowHeight="14.5" x14ac:dyDescent="0.35"/>
  <cols>
    <col min="3" max="3" width="105.6328125" bestFit="1" customWidth="1"/>
  </cols>
  <sheetData>
    <row r="1" spans="1:4" x14ac:dyDescent="0.35">
      <c r="A1" t="s">
        <v>88</v>
      </c>
      <c r="B1" t="str">
        <f>IF(VLOOKUP(A1,'Top 300 T20I Player'!$B$2:$B$301,1,0)=A1,"Yes","No")</f>
        <v>Yes</v>
      </c>
      <c r="C1" t="s">
        <v>635</v>
      </c>
      <c r="D1" t="str">
        <f>""""&amp;A1&amp;""""&amp;","&amp;""""&amp;C1&amp;""""&amp;","</f>
        <v>"IND","https://img1.hscicdn.com/image/upload/f_auto,t_ds_square_w_160,q_50/lsci/db/PICTURES/CMS/381800/381895.png",</v>
      </c>
    </row>
    <row r="2" spans="1:4" x14ac:dyDescent="0.35">
      <c r="A2" t="s">
        <v>89</v>
      </c>
      <c r="B2" t="str">
        <f>IF(VLOOKUP(A2,'Top 300 T20I Player'!$B$2:$B$301,1,0)=A2,"Yes","No")</f>
        <v>Yes</v>
      </c>
      <c r="C2" s="2" t="s">
        <v>594</v>
      </c>
      <c r="D2" t="str">
        <f t="shared" ref="D2:D61" si="0">""""&amp;A2&amp;""""&amp;","&amp;""""&amp;C2&amp;""""&amp;","</f>
        <v>"PAK","https://img1.hscicdn.com/image/upload/f_auto,t_ds_w_160,q_50/lsci/db/PICTURES/CMS/381800/381891.png",</v>
      </c>
    </row>
    <row r="3" spans="1:4" x14ac:dyDescent="0.35">
      <c r="A3" t="s">
        <v>90</v>
      </c>
      <c r="B3" t="str">
        <f>IF(VLOOKUP(A3,'Top 300 T20I Player'!$B$2:$B$301,1,0)=A3,"Yes","No")</f>
        <v>Yes</v>
      </c>
      <c r="C3" t="s">
        <v>595</v>
      </c>
      <c r="D3" t="str">
        <f t="shared" si="0"/>
        <v>"ENG","https://img1.hscicdn.com/image/upload/f_auto,t_ds_w_160,q_50/lsci/db/PICTURES/CMS/313200/313261.logo.png",</v>
      </c>
    </row>
    <row r="4" spans="1:4" x14ac:dyDescent="0.35">
      <c r="A4" t="s">
        <v>91</v>
      </c>
      <c r="B4" t="str">
        <f>IF(VLOOKUP(A4,'Top 300 T20I Player'!$B$2:$B$301,1,0)=A4,"Yes","No")</f>
        <v>Yes</v>
      </c>
      <c r="C4" s="2" t="s">
        <v>596</v>
      </c>
      <c r="D4" t="str">
        <f t="shared" si="0"/>
        <v>"IRE","https://img1.hscicdn.com/image/upload/f_auto,t_ds_square_w_160,q_50/lsci/db/PICTURES/CMS/313100/313149.logo.png",</v>
      </c>
    </row>
    <row r="5" spans="1:4" x14ac:dyDescent="0.35">
      <c r="A5" t="s">
        <v>92</v>
      </c>
      <c r="B5" t="str">
        <f>IF(VLOOKUP(A5,'Top 300 T20I Player'!$B$2:$B$301,1,0)=A5,"Yes","No")</f>
        <v>Yes</v>
      </c>
      <c r="C5" t="s">
        <v>597</v>
      </c>
      <c r="D5" t="str">
        <f t="shared" si="0"/>
        <v>"NZ","https://img1.hscicdn.com/image/upload/f_auto,t_ds_square_w_160,q_50/lsci/db/PICTURES/CMS/340500/340505.png",</v>
      </c>
    </row>
    <row r="6" spans="1:4" x14ac:dyDescent="0.35">
      <c r="A6" t="s">
        <v>93</v>
      </c>
      <c r="B6" t="str">
        <f>IF(VLOOKUP(A6,'Top 300 T20I Player'!$B$2:$B$301,1,0)=A6,"Yes","No")</f>
        <v>Yes</v>
      </c>
      <c r="C6" s="2" t="s">
        <v>598</v>
      </c>
      <c r="D6" t="str">
        <f t="shared" si="0"/>
        <v>"AUS","https://img1.hscicdn.com/image/upload/f_auto,t_ds_square_w_160,q_50/lsci/db/PICTURES/CMS/340400/340493.png",</v>
      </c>
    </row>
    <row r="7" spans="1:4" x14ac:dyDescent="0.35">
      <c r="A7" t="s">
        <v>95</v>
      </c>
      <c r="B7" t="str">
        <f>IF(VLOOKUP(A7,'Top 300 T20I Player'!$B$2:$B$301,1,0)=A7,"Yes","No")</f>
        <v>Yes</v>
      </c>
      <c r="C7" t="s">
        <v>599</v>
      </c>
      <c r="D7" t="str">
        <f t="shared" si="0"/>
        <v>"UAE","https://img1.hscicdn.com/image/upload/f_auto,t_ds_square_w_160,q_50/lsci/db/PICTURES/CMS/382100/382186.png",</v>
      </c>
    </row>
    <row r="8" spans="1:4" x14ac:dyDescent="0.35">
      <c r="A8" t="s">
        <v>94</v>
      </c>
      <c r="B8" t="str">
        <f>IF(VLOOKUP(A8,'Top 300 T20I Player'!$B$2:$B$301,1,0)=A8,"Yes","No")</f>
        <v>Yes</v>
      </c>
      <c r="C8" t="s">
        <v>636</v>
      </c>
      <c r="D8" t="str">
        <f t="shared" si="0"/>
        <v>"MAS","https://img1.hscicdn.com/image/upload/f_auto,t_ds_square_w_160,q_50/lsci/db/PICTURES/CMS/313100/313137.logo.png",</v>
      </c>
    </row>
    <row r="9" spans="1:4" x14ac:dyDescent="0.35">
      <c r="A9" t="s">
        <v>100</v>
      </c>
      <c r="B9" t="str">
        <f>IF(VLOOKUP(A9,'Top 300 T20I Player'!$B$2:$B$301,1,0)=A9,"Yes","No")</f>
        <v>Yes</v>
      </c>
      <c r="C9" t="s">
        <v>600</v>
      </c>
      <c r="D9" t="str">
        <f t="shared" si="0"/>
        <v>"ZIM","https://img1.hscicdn.com/image/upload/f_auto,t_ds_square_w_160,q_50/lsci/db/PICTURES/CMS/340500/340503.png",</v>
      </c>
    </row>
    <row r="10" spans="1:4" x14ac:dyDescent="0.35">
      <c r="A10" t="s">
        <v>97</v>
      </c>
      <c r="B10" t="str">
        <f>IF(VLOOKUP(A10,'Top 300 T20I Player'!$B$2:$B$301,1,0)=A10,"Yes","No")</f>
        <v>Yes</v>
      </c>
      <c r="C10" t="s">
        <v>601</v>
      </c>
      <c r="D10" t="str">
        <f t="shared" si="0"/>
        <v>"SA","https://img1.hscicdn.com/image/upload/f_auto,t_ds_square_w_160,q_50/lsci/db/PICTURES/CMS/382700/382733.png",</v>
      </c>
    </row>
    <row r="11" spans="1:4" x14ac:dyDescent="0.35">
      <c r="A11" t="s">
        <v>98</v>
      </c>
      <c r="B11" t="str">
        <f>IF(VLOOKUP(A11,'Top 300 T20I Player'!$B$2:$B$301,1,0)=A11,"Yes","No")</f>
        <v>Yes</v>
      </c>
      <c r="C11" t="s">
        <v>602</v>
      </c>
      <c r="D11" t="str">
        <f t="shared" si="0"/>
        <v>"BAN","https://img1.hscicdn.com/image/upload/f_auto,t_ds_square_w_160,q_50/lsci/db/PICTURES/CMS/341400/341456.png",</v>
      </c>
    </row>
    <row r="12" spans="1:4" x14ac:dyDescent="0.35">
      <c r="A12" t="s">
        <v>103</v>
      </c>
      <c r="B12" t="str">
        <f>IF(VLOOKUP(A12,'Top 300 T20I Player'!$B$2:$B$301,1,0)=A12,"Yes","No")</f>
        <v>Yes</v>
      </c>
      <c r="C12" t="s">
        <v>603</v>
      </c>
      <c r="D12" t="str">
        <f t="shared" si="0"/>
        <v>"AFG","https://img1.hscicdn.com/image/upload/f_auto,t_ds_square_w_160,q_50/lsci/db/PICTURES/CMS/381800/381892.png",</v>
      </c>
    </row>
    <row r="13" spans="1:4" x14ac:dyDescent="0.35">
      <c r="A13" t="s">
        <v>105</v>
      </c>
      <c r="B13" t="str">
        <f>IF(VLOOKUP(A13,'Top 300 T20I Player'!$B$2:$B$301,1,0)=A13,"Yes","No")</f>
        <v>Yes</v>
      </c>
      <c r="C13" t="s">
        <v>604</v>
      </c>
      <c r="D13" t="str">
        <f t="shared" si="0"/>
        <v>"HKG","https://static.cricbuzz.com/a/img/v1/25x18/i1/c776271/hong-kong.jpg",</v>
      </c>
    </row>
    <row r="14" spans="1:4" x14ac:dyDescent="0.35">
      <c r="A14" t="s">
        <v>102</v>
      </c>
      <c r="B14" t="str">
        <f>IF(VLOOKUP(A14,'Top 300 T20I Player'!$B$2:$B$301,1,0)=A14,"Yes","No")</f>
        <v>Yes</v>
      </c>
      <c r="C14" t="s">
        <v>605</v>
      </c>
      <c r="D14" t="str">
        <f t="shared" si="0"/>
        <v>"SCOT","https://img1.hscicdn.com/image/upload/f_auto,t_ds_square_w_160,q_50/lsci/db/PICTURES/CMS/313100/313150.logo.png",</v>
      </c>
    </row>
    <row r="15" spans="1:4" x14ac:dyDescent="0.35">
      <c r="A15" t="s">
        <v>106</v>
      </c>
      <c r="B15" t="str">
        <f>IF(VLOOKUP(A15,'Top 300 T20I Player'!$B$2:$B$301,1,0)=A15,"Yes","No")</f>
        <v>Yes</v>
      </c>
      <c r="C15" t="s">
        <v>606</v>
      </c>
      <c r="D15" t="str">
        <f t="shared" si="0"/>
        <v>"NED","https://img1.hscicdn.com/image/upload/f_auto,t_ds_square_w_160,q_50/lsci/db/PICTURES/CMS/381800/381893.png",</v>
      </c>
    </row>
    <row r="16" spans="1:4" x14ac:dyDescent="0.35">
      <c r="A16" t="s">
        <v>108</v>
      </c>
      <c r="B16" t="str">
        <f>IF(VLOOKUP(A16,'Top 300 T20I Player'!$B$2:$B$301,1,0)=A16,"Yes","No")</f>
        <v>Yes</v>
      </c>
      <c r="C16" t="s">
        <v>607</v>
      </c>
      <c r="D16" t="str">
        <f t="shared" si="0"/>
        <v>"SL","https://img1.hscicdn.com/image/upload/f_auto,t_ds_square_w_160,q_50/lsci/db/PICTURES/CMS/340000/340047.png",</v>
      </c>
    </row>
    <row r="17" spans="1:4" x14ac:dyDescent="0.35">
      <c r="A17" t="s">
        <v>101</v>
      </c>
      <c r="B17" t="str">
        <f>IF(VLOOKUP(A17,'Top 300 T20I Player'!$B$2:$B$301,1,0)=A17,"Yes","No")</f>
        <v>Yes</v>
      </c>
      <c r="C17" t="s">
        <v>608</v>
      </c>
      <c r="D17" t="str">
        <f t="shared" si="0"/>
        <v>"WI","https://img1.hscicdn.com/image/upload/f_auto,t_ds_square_w_160,q_50/lsci/db/PICTURES/CMS/317600/317615.png",</v>
      </c>
    </row>
    <row r="18" spans="1:4" x14ac:dyDescent="0.35">
      <c r="A18" t="s">
        <v>104</v>
      </c>
      <c r="B18" t="str">
        <f>IF(VLOOKUP(A18,'Top 300 T20I Player'!$B$2:$B$301,1,0)=A18,"Yes","No")</f>
        <v>Yes</v>
      </c>
      <c r="C18" t="s">
        <v>611</v>
      </c>
      <c r="D18" t="str">
        <f t="shared" si="0"/>
        <v>"UGA","https://img1.hscicdn.com/image/upload/f_auto,t_ds_square_w_160,q_50/lsci/db/PICTURES/CMS/381800/381856.png",</v>
      </c>
    </row>
    <row r="19" spans="1:4" x14ac:dyDescent="0.35">
      <c r="A19" t="s">
        <v>107</v>
      </c>
      <c r="B19" t="str">
        <f>IF(VLOOKUP(A19,'Top 300 T20I Player'!$B$2:$B$301,1,0)=A19,"Yes","No")</f>
        <v>Yes</v>
      </c>
      <c r="C19" t="s">
        <v>612</v>
      </c>
      <c r="D19" t="str">
        <f t="shared" si="0"/>
        <v>"KUW","https://img1.hscicdn.com/image/upload/f_auto,t_ds_square_w_160,q_50/lsci/db/PICTURES/CMS/383900/383963.png",</v>
      </c>
    </row>
    <row r="20" spans="1:4" x14ac:dyDescent="0.35">
      <c r="A20" t="s">
        <v>240</v>
      </c>
      <c r="B20" t="str">
        <f>IF(VLOOKUP(A20,'Top 300 T20I Player'!$B$2:$B$301,1,0)=A20,"Yes","No")</f>
        <v>Yes</v>
      </c>
      <c r="C20" t="s">
        <v>613</v>
      </c>
      <c r="D20" t="str">
        <f t="shared" si="0"/>
        <v>"MWI","https://img1.hscicdn.com/image/upload/f_auto,t_ds_square_w_160,q_50/lsci/db/PICTURES/CMS/313100/313196.logo.png",</v>
      </c>
    </row>
    <row r="21" spans="1:4" x14ac:dyDescent="0.35">
      <c r="A21" t="s">
        <v>117</v>
      </c>
      <c r="B21" t="str">
        <f>IF(VLOOKUP(A21,'Top 300 T20I Player'!$B$2:$B$301,1,0)=A21,"Yes","No")</f>
        <v>Yes</v>
      </c>
      <c r="C21" t="s">
        <v>614</v>
      </c>
      <c r="D21" t="str">
        <f t="shared" si="0"/>
        <v>"QAT","https://img1.hscicdn.com/image/upload/f_auto,t_ds_square_w_160,q_50/lsci/db/PICTURES/CMS/383900/383966.png",</v>
      </c>
    </row>
    <row r="22" spans="1:4" x14ac:dyDescent="0.35">
      <c r="A22" t="s">
        <v>111</v>
      </c>
      <c r="B22" t="str">
        <f>IF(VLOOKUP(A22,'Top 300 T20I Player'!$B$2:$B$301,1,0)=A22,"Yes","No")</f>
        <v>Yes</v>
      </c>
      <c r="C22" t="s">
        <v>609</v>
      </c>
      <c r="D22" t="str">
        <f t="shared" si="0"/>
        <v>"NEP","https://img1.hscicdn.com/image/upload/f_auto,t_ds_square_w_160,q_50/lsci/db/PICTURES/CMS/319900/319958.png",</v>
      </c>
    </row>
    <row r="23" spans="1:4" x14ac:dyDescent="0.35">
      <c r="A23" t="s">
        <v>127</v>
      </c>
      <c r="B23" t="str">
        <f>IF(VLOOKUP(A23,'Top 300 T20I Player'!$B$2:$B$301,1,0)=A23,"Yes","No")</f>
        <v>Yes</v>
      </c>
      <c r="C23" t="s">
        <v>615</v>
      </c>
      <c r="D23" t="str">
        <f t="shared" si="0"/>
        <v>"KENYA","https://img1.hscicdn.com/image/upload/f_auto,t_ds_square_w_160,q_50/lsci/db/PICTURES/CMS/313100/313146.logo.png",</v>
      </c>
    </row>
    <row r="24" spans="1:4" x14ac:dyDescent="0.35">
      <c r="A24" t="s">
        <v>164</v>
      </c>
      <c r="B24" t="str">
        <f>IF(VLOOKUP(A24,'Top 300 T20I Player'!$B$2:$B$301,1,0)=A24,"Yes","No")</f>
        <v>Yes</v>
      </c>
      <c r="C24" t="s">
        <v>610</v>
      </c>
      <c r="D24" t="str">
        <f t="shared" si="0"/>
        <v>"NAM","https://img1.hscicdn.com/image/upload/f_auto,t_ds_square_w_160,q_50/lsci/db/PICTURES/CMS/381800/381857.png",</v>
      </c>
    </row>
    <row r="25" spans="1:4" x14ac:dyDescent="0.35">
      <c r="A25" t="s">
        <v>162</v>
      </c>
      <c r="B25" t="str">
        <f>IF(VLOOKUP(A25,'Top 300 T20I Player'!$B$2:$B$301,1,0)=A25,"Yes","No")</f>
        <v>Yes</v>
      </c>
      <c r="C25" s="2" t="s">
        <v>616</v>
      </c>
      <c r="D25" t="str">
        <f t="shared" si="0"/>
        <v>"KSA","https://img1.hscicdn.com/image/upload/f_auto,t_ds_square_w_160,q_50/lsci/db/PICTURES/CMS/383900/383973.png",</v>
      </c>
    </row>
    <row r="26" spans="1:4" x14ac:dyDescent="0.35">
      <c r="A26" t="s">
        <v>274</v>
      </c>
      <c r="B26" t="str">
        <f>IF(VLOOKUP(A26,'Top 300 T20I Player'!$B$2:$B$301,1,0)=A26,"Yes","No")</f>
        <v>Yes</v>
      </c>
      <c r="C26" t="s">
        <v>617</v>
      </c>
      <c r="D26" t="str">
        <f t="shared" si="0"/>
        <v>"AUT","https://img1.hscicdn.com/image/upload/f_auto,t_ds_square_w_160,q_50/lsci/db/PICTURES/CMS/382600/382657.png",</v>
      </c>
    </row>
    <row r="27" spans="1:4" x14ac:dyDescent="0.35">
      <c r="A27" t="s">
        <v>176</v>
      </c>
      <c r="B27" t="str">
        <f>IF(VLOOKUP(A27,'Top 300 T20I Player'!$B$2:$B$301,1,0)=A27,"Yes","No")</f>
        <v>Yes</v>
      </c>
      <c r="C27" t="s">
        <v>619</v>
      </c>
      <c r="D27" t="str">
        <f t="shared" si="0"/>
        <v>"JPN","https://img1.hscicdn.com/image/upload/f_auto,t_ds_square_w_160,q_50/lsci/db/PICTURES/CMS/360500/360559.png",</v>
      </c>
    </row>
    <row r="28" spans="1:4" x14ac:dyDescent="0.35">
      <c r="A28" t="s">
        <v>149</v>
      </c>
      <c r="B28" t="str">
        <f>IF(VLOOKUP(A28,'Top 300 T20I Player'!$B$2:$B$301,1,0)=A28,"Yes","No")</f>
        <v>Yes</v>
      </c>
      <c r="C28" t="s">
        <v>621</v>
      </c>
      <c r="D28" t="str">
        <f t="shared" si="0"/>
        <v>"PNG","https://img1.hscicdn.com/image/upload/f_auto,t_ds_square_w_160,q_50/lsci/db/PICTURES/CMS/383200/383206.png",</v>
      </c>
    </row>
    <row r="29" spans="1:4" x14ac:dyDescent="0.35">
      <c r="A29" t="s">
        <v>228</v>
      </c>
      <c r="B29" t="str">
        <f>IF(VLOOKUP(A29,'Top 300 T20I Player'!$B$2:$B$301,1,0)=A29,"Yes","No")</f>
        <v>Yes</v>
      </c>
      <c r="C29" t="s">
        <v>620</v>
      </c>
      <c r="D29" t="str">
        <f t="shared" si="0"/>
        <v>"OMA","https://img1.hscicdn.com/image/upload/f_auto,t_ds_square_w_160,q_50/lsci/db/PICTURES/CMS/381800/381858.png",</v>
      </c>
    </row>
    <row r="30" spans="1:4" x14ac:dyDescent="0.35">
      <c r="A30" t="s">
        <v>225</v>
      </c>
      <c r="B30" t="str">
        <f>IF(VLOOKUP(A30,'Top 300 T20I Player'!$B$2:$B$301,1,0)=A30,"Yes","No")</f>
        <v>Yes</v>
      </c>
      <c r="C30" t="s">
        <v>622</v>
      </c>
      <c r="D30" t="str">
        <f t="shared" si="0"/>
        <v>"BHR","https://img1.hscicdn.com/image/upload/f_auto,t_ds_square_w_160,q_50/lsci/db/PICTURES/CMS/383900/383965.png",</v>
      </c>
    </row>
    <row r="31" spans="1:4" x14ac:dyDescent="0.35">
      <c r="A31" t="s">
        <v>212</v>
      </c>
      <c r="B31" t="str">
        <f>IF(VLOOKUP(A31,'Top 300 T20I Player'!$B$2:$B$301,1,0)=A31,"Yes","No")</f>
        <v>Yes</v>
      </c>
      <c r="C31" t="s">
        <v>623</v>
      </c>
      <c r="D31" t="str">
        <f t="shared" si="0"/>
        <v>"MLT","https://img1.hscicdn.com/image/upload/f_auto,t_ds_square_w_160,q_50/lsci/db/PICTURES/CMS/383900/383972.png",</v>
      </c>
    </row>
    <row r="32" spans="1:4" x14ac:dyDescent="0.35">
      <c r="A32" t="s">
        <v>289</v>
      </c>
      <c r="B32" t="str">
        <f>IF(VLOOKUP(A32,'Top 300 T20I Player'!$B$2:$B$301,1,0)=A32,"Yes","No")</f>
        <v>Yes</v>
      </c>
      <c r="C32" t="s">
        <v>618</v>
      </c>
      <c r="D32" t="str">
        <f t="shared" si="0"/>
        <v>"ROM","https://img1.hscicdn.com/image/upload/f_auto,t_ds_square_w_160,q_50/lsci/db/PICTURES/CMS/313200/313205.logo.png",</v>
      </c>
    </row>
    <row r="33" spans="1:4" x14ac:dyDescent="0.35">
      <c r="A33" t="s">
        <v>217</v>
      </c>
      <c r="B33" t="str">
        <f>IF(VLOOKUP(A33,'Top 300 T20I Player'!$B$2:$B$301,1,0)=A33,"Yes","No")</f>
        <v>Yes</v>
      </c>
      <c r="C33" t="s">
        <v>624</v>
      </c>
      <c r="D33" t="str">
        <f t="shared" si="0"/>
        <v>"TAN","https://img1.hscicdn.com/image/upload/f_auto,t_ds_square_w_160,q_50/lsci/db/PICTURES/CMS/313300/313363.logo.png",</v>
      </c>
    </row>
    <row r="34" spans="1:4" x14ac:dyDescent="0.35">
      <c r="A34" t="s">
        <v>242</v>
      </c>
      <c r="B34" t="str">
        <f>IF(VLOOKUP(A34,'Top 300 T20I Player'!$B$2:$B$301,1,0)=A34,"Yes","No")</f>
        <v>Yes</v>
      </c>
      <c r="C34" t="s">
        <v>626</v>
      </c>
      <c r="D34" t="str">
        <f t="shared" si="0"/>
        <v>"JER","https://img1.hscicdn.com/image/upload/f_auto,t_ds_square_w_160,q_50/lsci/db/PICTURES/CMS/383000/383046.png",</v>
      </c>
    </row>
    <row r="35" spans="1:4" x14ac:dyDescent="0.35">
      <c r="A35" t="s">
        <v>249</v>
      </c>
      <c r="B35" t="str">
        <f>IF(VLOOKUP(A35,'Top 300 T20I Player'!$B$2:$B$301,1,0)=A35,"Yes","No")</f>
        <v>Yes</v>
      </c>
      <c r="C35" t="s">
        <v>627</v>
      </c>
      <c r="D35" t="str">
        <f t="shared" si="0"/>
        <v>"BOT","https://img1.hscicdn.com/image/upload/f_auto,t_ds_square_w_160,q_50/lsci/db/PICTURES/CMS/313100/313174.logo.png",</v>
      </c>
    </row>
    <row r="36" spans="1:4" x14ac:dyDescent="0.35">
      <c r="A36" t="s">
        <v>247</v>
      </c>
      <c r="B36" t="str">
        <f>IF(VLOOKUP(A36,'Top 300 T20I Player'!$B$2:$B$301,1,0)=A36,"Yes","No")</f>
        <v>Yes</v>
      </c>
      <c r="C36" t="s">
        <v>628</v>
      </c>
      <c r="D36" t="str">
        <f t="shared" si="0"/>
        <v>"RWN","https://img1.hscicdn.com/image/upload/f_auto,t_ds_square_w_160,q_50/lsci/db/PICTURES/CMS/313400/313431.logo.png",</v>
      </c>
    </row>
    <row r="37" spans="1:4" x14ac:dyDescent="0.35">
      <c r="A37" t="s">
        <v>338</v>
      </c>
      <c r="B37" t="str">
        <f>IF(VLOOKUP(A37,'Top 300 T20I Player'!$B$2:$B$301,1,0)=A37,"Yes","No")</f>
        <v>Yes</v>
      </c>
      <c r="C37" t="s">
        <v>629</v>
      </c>
      <c r="D37" t="str">
        <f t="shared" si="0"/>
        <v>"NGA","https://img1.hscicdn.com/image/upload/f_auto,t_ds_square_w_160,q_50/lsci/db/PICTURES/CMS/313100/313198.logo.png",</v>
      </c>
    </row>
    <row r="38" spans="1:4" x14ac:dyDescent="0.35">
      <c r="A38" t="s">
        <v>320</v>
      </c>
      <c r="B38" t="str">
        <f>IF(VLOOKUP(A38,'Top 300 T20I Player'!$B$2:$B$301,1,0)=A38,"Yes","No")</f>
        <v>Yes</v>
      </c>
      <c r="C38" t="s">
        <v>630</v>
      </c>
      <c r="D38" t="str">
        <f t="shared" si="0"/>
        <v>"SGP","https://img1.hscicdn.com/image/upload/f_auto,t_ds_square_w_160,q_50/lsci/db/PICTURES/CMS/390500/390512.png",</v>
      </c>
    </row>
    <row r="39" spans="1:4" x14ac:dyDescent="0.35">
      <c r="A39" t="s">
        <v>309</v>
      </c>
      <c r="B39" t="str">
        <f>IF(VLOOKUP(A39,'Top 300 T20I Player'!$B$2:$B$301,1,0)=A39,"Yes","No")</f>
        <v>Yes</v>
      </c>
      <c r="C39" t="s">
        <v>637</v>
      </c>
      <c r="D39" t="str">
        <f t="shared" si="0"/>
        <v>"CZK-R","https://img1.hscicdn.com/image/upload/f_auto,t_ds_square_w_160,q_50/lsci/db/PICTURES/CMS/383000/383044.png",</v>
      </c>
    </row>
    <row r="40" spans="1:4" x14ac:dyDescent="0.35">
      <c r="A40" t="s">
        <v>286</v>
      </c>
      <c r="B40" t="str">
        <f>IF(VLOOKUP(A40,'Top 300 T20I Player'!$B$2:$B$301,1,0)=A40,"Yes","No")</f>
        <v>Yes</v>
      </c>
      <c r="C40" t="s">
        <v>625</v>
      </c>
      <c r="D40" t="str">
        <f t="shared" si="0"/>
        <v>"CAN","https://img1.hscicdn.com/image/upload/f_auto,t_ds_square_w_160,q_50/lsci/db/PICTURES/CMS/381800/381855.png",</v>
      </c>
    </row>
    <row r="41" spans="1:4" x14ac:dyDescent="0.35">
      <c r="A41" t="s">
        <v>305</v>
      </c>
      <c r="B41" t="str">
        <f>IF(VLOOKUP(A41,'Top 300 T20I Player'!$B$2:$B$301,1,0)=A41,"Yes","No")</f>
        <v>Yes</v>
      </c>
      <c r="C41" t="s">
        <v>638</v>
      </c>
      <c r="D41" t="str">
        <f t="shared" si="0"/>
        <v>"BER","https://img1.hscicdn.com/image/upload/f_auto,t_ds_square_w_160,q_50/lsci/db/PICTURES/CMS/383900/383967.png",</v>
      </c>
    </row>
    <row r="42" spans="1:4" x14ac:dyDescent="0.35">
      <c r="A42" t="s">
        <v>371</v>
      </c>
      <c r="B42" t="str">
        <f>IF(VLOOKUP(A42,'Top 300 T20I Player'!$B$2:$B$301,1,0)=A42,"Yes","No")</f>
        <v>Yes</v>
      </c>
      <c r="C42" t="s">
        <v>639</v>
      </c>
      <c r="D42" t="str">
        <f t="shared" si="0"/>
        <v>"BEL","https://img1.hscicdn.com/image/upload/f_auto,t_ds_square_w_160,q_50/lsci/db/PICTURES/CMS/313100/313162.logo.png",</v>
      </c>
    </row>
    <row r="43" spans="1:4" x14ac:dyDescent="0.35">
      <c r="A43" t="s">
        <v>314</v>
      </c>
      <c r="B43" t="str">
        <f>IF(VLOOKUP(A43,'Top 300 T20I Player'!$B$2:$B$301,1,0)=A43,"Yes","No")</f>
        <v>Yes</v>
      </c>
      <c r="C43" t="s">
        <v>640</v>
      </c>
      <c r="D43" t="str">
        <f t="shared" si="0"/>
        <v>"DEN","https://img1.hscicdn.com/image/upload/f_auto,t_ds_square_w_160,q_50/lsci/db/PICTURES/CMS/313100/313135.logo.png",</v>
      </c>
    </row>
    <row r="44" spans="1:4" x14ac:dyDescent="0.35">
      <c r="A44" t="s">
        <v>336</v>
      </c>
      <c r="B44" t="str">
        <f>IF(VLOOKUP(A44,'Top 300 T20I Player'!$B$2:$B$301,1,0)=A44,"Yes","No")</f>
        <v>Yes</v>
      </c>
      <c r="C44" t="s">
        <v>641</v>
      </c>
      <c r="D44" t="str">
        <f t="shared" si="0"/>
        <v>"GIBR","https://img1.hscicdn.com/image/upload/f_auto,t_ds_square_w_160,q_50/lsci/db/PICTURES/CMS/383000/383042.png",</v>
      </c>
    </row>
    <row r="45" spans="1:4" x14ac:dyDescent="0.35">
      <c r="A45" t="s">
        <v>451</v>
      </c>
      <c r="B45" t="str">
        <f>IF(VLOOKUP(A45,'Top 300 T20I Player'!$B$2:$B$301,1,0)=A45,"Yes","No")</f>
        <v>Yes</v>
      </c>
      <c r="C45" t="s">
        <v>642</v>
      </c>
      <c r="D45" t="str">
        <f t="shared" si="0"/>
        <v>"BUL","https://img1.hscicdn.com/image/upload/f_auto,t_ds_square_w_160,q_50/lsci/db/PICTURES/CMS/313100/313172.logo.png",</v>
      </c>
    </row>
    <row r="46" spans="1:4" x14ac:dyDescent="0.35">
      <c r="A46" t="s">
        <v>417</v>
      </c>
      <c r="B46" t="str">
        <f>IF(VLOOKUP(A46,'Top 300 T20I Player'!$B$2:$B$301,1,0)=A46,"Yes","No")</f>
        <v>Yes</v>
      </c>
      <c r="C46" t="s">
        <v>643</v>
      </c>
      <c r="D46" t="str">
        <f t="shared" si="0"/>
        <v>"GUE","https://img1.hscicdn.com/image/upload/f_auto,t_ds_square_w_160,q_50/lsci/db/PICTURES/CMS/313200/313266.logo.png",</v>
      </c>
    </row>
    <row r="47" spans="1:4" x14ac:dyDescent="0.35">
      <c r="A47" t="s">
        <v>349</v>
      </c>
      <c r="B47" t="str">
        <f>IF(VLOOKUP(A47,'Top 300 T20I Player'!$B$2:$B$301,1,0)=A47,"Yes","No")</f>
        <v>Yes</v>
      </c>
      <c r="C47" t="s">
        <v>631</v>
      </c>
      <c r="D47" t="str">
        <f t="shared" si="0"/>
        <v>"CAM","https://img1.hscicdn.com/image/upload/f_auto,t_ds_square_w_160,q_50/lsci/db/PICTURES/CMS/352600/352691.png",</v>
      </c>
    </row>
    <row r="48" spans="1:4" x14ac:dyDescent="0.35">
      <c r="A48" t="s">
        <v>351</v>
      </c>
      <c r="B48" t="str">
        <f>IF(VLOOKUP(A48,'Top 300 T20I Player'!$B$2:$B$301,1,0)=A48,"Yes","No")</f>
        <v>Yes</v>
      </c>
      <c r="C48" t="s">
        <v>644</v>
      </c>
      <c r="D48" t="str">
        <f t="shared" si="0"/>
        <v>"VAN","https://img1.hscicdn.com/image/upload/f_auto,t_ds_square_w_160,q_50/lsci/db/PICTURES/CMS/386300/386358.png",</v>
      </c>
    </row>
    <row r="49" spans="1:4" x14ac:dyDescent="0.35">
      <c r="A49" t="s">
        <v>429</v>
      </c>
      <c r="B49" t="str">
        <f>IF(VLOOKUP(A49,'Top 300 T20I Player'!$B$2:$B$301,1,0)=A49,"Yes","No")</f>
        <v>Yes</v>
      </c>
      <c r="C49" t="s">
        <v>645</v>
      </c>
      <c r="D49" t="str">
        <f t="shared" si="0"/>
        <v>"SRB","https://img1.hscicdn.com/image/upload/f_auto,t_ds_square_w_160,q_50/lsci/db/PICTURES/CMS/313500/313502.logo.png",</v>
      </c>
    </row>
    <row r="50" spans="1:4" x14ac:dyDescent="0.35">
      <c r="A50" t="s">
        <v>361</v>
      </c>
      <c r="B50" t="str">
        <f>IF(VLOOKUP(A50,'Top 300 T20I Player'!$B$2:$B$301,1,0)=A50,"Yes","No")</f>
        <v>Yes</v>
      </c>
      <c r="C50" t="s">
        <v>646</v>
      </c>
      <c r="D50" t="str">
        <f t="shared" si="0"/>
        <v>"MOZ","https://img1.hscicdn.com/image/upload/f_auto,t_ds_square_w_160,q_50/lsci/db/PICTURES/CMS/313100/313197.logo.png",</v>
      </c>
    </row>
    <row r="51" spans="1:4" x14ac:dyDescent="0.35">
      <c r="A51" t="s">
        <v>426</v>
      </c>
      <c r="B51" t="str">
        <f>IF(VLOOKUP(A51,'Top 300 T20I Player'!$B$2:$B$301,1,0)=A51,"Yes","No")</f>
        <v>Yes</v>
      </c>
      <c r="D51" t="str">
        <f t="shared" si="0"/>
        <v>"SUI","",</v>
      </c>
    </row>
    <row r="52" spans="1:4" x14ac:dyDescent="0.35">
      <c r="A52" t="s">
        <v>399</v>
      </c>
      <c r="B52" t="str">
        <f>IF(VLOOKUP(A52,'Top 300 T20I Player'!$B$2:$B$301,1,0)=A52,"Yes","No")</f>
        <v>Yes</v>
      </c>
      <c r="D52" t="str">
        <f t="shared" si="0"/>
        <v>"THA","",</v>
      </c>
    </row>
    <row r="53" spans="1:4" x14ac:dyDescent="0.35">
      <c r="A53" t="s">
        <v>433</v>
      </c>
      <c r="B53" t="str">
        <f>IF(VLOOKUP(A53,'Top 300 T20I Player'!$B$2:$B$301,1,0)=A53,"Yes","No")</f>
        <v>Yes</v>
      </c>
      <c r="D53" t="str">
        <f t="shared" si="0"/>
        <v>"LUX","",</v>
      </c>
    </row>
    <row r="54" spans="1:4" x14ac:dyDescent="0.35">
      <c r="A54" t="s">
        <v>412</v>
      </c>
      <c r="B54" t="str">
        <f>IF(VLOOKUP(A54,'Top 300 T20I Player'!$B$2:$B$301,1,0)=A54,"Yes","No")</f>
        <v>Yes</v>
      </c>
      <c r="D54" t="str">
        <f t="shared" si="0"/>
        <v>"USA","",</v>
      </c>
    </row>
    <row r="55" spans="1:4" x14ac:dyDescent="0.35">
      <c r="A55" t="s">
        <v>482</v>
      </c>
      <c r="B55" t="str">
        <f>IF(VLOOKUP(A55,'Top 300 T20I Player'!$B$2:$B$301,1,0)=A55,"Yes","No")</f>
        <v>Yes</v>
      </c>
      <c r="D55" t="str">
        <f t="shared" si="0"/>
        <v>"INA","",</v>
      </c>
    </row>
    <row r="56" spans="1:4" x14ac:dyDescent="0.35">
      <c r="A56" t="s">
        <v>484</v>
      </c>
      <c r="B56" t="str">
        <f>IF(VLOOKUP(A56,'Top 300 T20I Player'!$B$2:$B$301,1,0)=A56,"Yes","No")</f>
        <v>Yes</v>
      </c>
      <c r="D56" t="str">
        <f t="shared" si="0"/>
        <v>"Fran","",</v>
      </c>
    </row>
    <row r="57" spans="1:4" x14ac:dyDescent="0.35">
      <c r="A57" t="s">
        <v>516</v>
      </c>
      <c r="B57" t="str">
        <f>IF(VLOOKUP(A57,'Top 300 T20I Player'!$B$2:$B$301,1,0)=A57,"Yes","No")</f>
        <v>Yes</v>
      </c>
      <c r="C57" t="s">
        <v>647</v>
      </c>
      <c r="D57" t="str">
        <f t="shared" si="0"/>
        <v>"SWZ","https://img1.hscicdn.com/image/upload/f_auto,t_ds_square_w_160,q_50/lsci/db/PICTURES/CMS/313400/313405.logo.png",</v>
      </c>
    </row>
    <row r="58" spans="1:4" x14ac:dyDescent="0.35">
      <c r="A58" t="s">
        <v>525</v>
      </c>
      <c r="B58" t="str">
        <f>IF(VLOOKUP(A58,'Top 300 T20I Player'!$B$2:$B$301,1,0)=A58,"Yes","No")</f>
        <v>Yes</v>
      </c>
      <c r="D58" t="str">
        <f t="shared" si="0"/>
        <v>"NOR","",</v>
      </c>
    </row>
    <row r="59" spans="1:4" x14ac:dyDescent="0.35">
      <c r="A59" t="s">
        <v>528</v>
      </c>
      <c r="B59" t="str">
        <f>IF(VLOOKUP(A59,'Top 300 T20I Player'!$B$2:$B$301,1,0)=A59,"Yes","No")</f>
        <v>Yes</v>
      </c>
      <c r="D59" t="str">
        <f t="shared" si="0"/>
        <v>"HUN","",</v>
      </c>
    </row>
    <row r="60" spans="1:4" x14ac:dyDescent="0.35">
      <c r="A60" t="s">
        <v>486</v>
      </c>
      <c r="B60" t="str">
        <f>IFERROR(IF(VLOOKUP(A60,'Top 300 T20I Player'!$B$2:$B$301,1,0)=A60,"Yes","No"),"-")</f>
        <v>-</v>
      </c>
      <c r="D60" t="str">
        <f t="shared" si="0"/>
        <v>"MDV","",</v>
      </c>
    </row>
    <row r="61" spans="1:4" x14ac:dyDescent="0.35">
      <c r="A61" t="s">
        <v>490</v>
      </c>
      <c r="B61" t="str">
        <f>IFERROR(IF(VLOOKUP(A61,'Top 300 T20I Player'!$B$2:$B$301,1,0)=A61,"Yes","No"),"-")</f>
        <v>-</v>
      </c>
      <c r="C61" t="s">
        <v>648</v>
      </c>
      <c r="D61" t="str">
        <f t="shared" si="0"/>
        <v>"CAY","https://img1.hscicdn.com/image/upload/f_auto,t_ds_square_w_160,q_50/lsci/db/PICTURES/CMS/392600/392662.png",</v>
      </c>
    </row>
  </sheetData>
  <hyperlinks>
    <hyperlink ref="C2" r:id="rId1" xr:uid="{3F63A5EC-8BF8-4411-A98B-EAEF401A01B5}"/>
    <hyperlink ref="C4" r:id="rId2" xr:uid="{2592EBE0-24C8-43B3-8AC3-6B63968587F0}"/>
    <hyperlink ref="C6" r:id="rId3" xr:uid="{43CA89F6-3E96-4A4F-8CFE-91AB494F38EA}"/>
    <hyperlink ref="C25" r:id="rId4" xr:uid="{BC0D47F7-F991-494F-A968-73DB5A847A99}"/>
  </hyperlinks>
  <pageMargins left="0.7" right="0.7" top="0.75" bottom="0.75" header="0.3" footer="0.3"/>
  <pageSetup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31F0A-D92A-48AC-9F6F-D62C4A8185D4}">
  <sheetPr codeName="Sheet8"/>
  <dimension ref="A1:R11"/>
  <sheetViews>
    <sheetView topLeftCell="B1" workbookViewId="0">
      <selection activeCell="A3" sqref="A3:XFD9"/>
    </sheetView>
  </sheetViews>
  <sheetFormatPr defaultRowHeight="14.5" x14ac:dyDescent="0.35"/>
  <cols>
    <col min="1" max="1" width="13.6328125" bestFit="1" customWidth="1"/>
    <col min="2" max="2" width="14" bestFit="1" customWidth="1"/>
    <col min="3" max="3" width="12.453125" bestFit="1" customWidth="1"/>
    <col min="4" max="4" width="10.6328125" bestFit="1" customWidth="1"/>
    <col min="5" max="5" width="6.54296875" bestFit="1" customWidth="1"/>
    <col min="6" max="6" width="6.6328125" bestFit="1" customWidth="1"/>
    <col min="7" max="7" width="5.7265625" bestFit="1" customWidth="1"/>
    <col min="8" max="8" width="7.1796875" bestFit="1" customWidth="1"/>
    <col min="9" max="9" width="5.26953125" bestFit="1" customWidth="1"/>
    <col min="10" max="10" width="6.1796875" bestFit="1" customWidth="1"/>
    <col min="11" max="11" width="5.08984375" bestFit="1" customWidth="1"/>
    <col min="12" max="12" width="6.81640625" bestFit="1" customWidth="1"/>
    <col min="13" max="13" width="6.08984375" bestFit="1" customWidth="1"/>
    <col min="14" max="14" width="5.08984375" bestFit="1" customWidth="1"/>
    <col min="15" max="15" width="4.08984375" bestFit="1" customWidth="1"/>
    <col min="16" max="17" width="4.90625" bestFit="1" customWidth="1"/>
    <col min="18" max="18" width="10.54296875" bestFit="1" customWidth="1"/>
  </cols>
  <sheetData>
    <row r="1" spans="1:18" x14ac:dyDescent="0.35">
      <c r="A1" t="s">
        <v>86</v>
      </c>
      <c r="B1" t="s">
        <v>87</v>
      </c>
      <c r="C1" t="s">
        <v>586</v>
      </c>
      <c r="D1" t="s">
        <v>587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</row>
    <row r="2" spans="1:18" x14ac:dyDescent="0.35">
      <c r="A2" s="1" t="s">
        <v>588</v>
      </c>
      <c r="B2" s="1" t="s">
        <v>96</v>
      </c>
      <c r="C2">
        <v>2010</v>
      </c>
      <c r="D2">
        <v>2024</v>
      </c>
      <c r="E2">
        <v>130</v>
      </c>
      <c r="F2">
        <v>114</v>
      </c>
      <c r="G2">
        <v>36</v>
      </c>
      <c r="H2">
        <v>2591</v>
      </c>
      <c r="I2">
        <v>106</v>
      </c>
      <c r="J2">
        <v>33.21</v>
      </c>
      <c r="K2">
        <v>1842</v>
      </c>
      <c r="L2">
        <v>140.66</v>
      </c>
      <c r="M2">
        <v>2</v>
      </c>
      <c r="N2">
        <v>8</v>
      </c>
      <c r="O2">
        <v>3</v>
      </c>
      <c r="P2">
        <v>168</v>
      </c>
      <c r="Q2">
        <v>130</v>
      </c>
      <c r="R2" s="1"/>
    </row>
    <row r="3" spans="1:18" x14ac:dyDescent="0.35">
      <c r="A3" s="1" t="s">
        <v>589</v>
      </c>
      <c r="B3" s="1" t="s">
        <v>99</v>
      </c>
      <c r="C3">
        <v>2006</v>
      </c>
      <c r="D3">
        <v>2021</v>
      </c>
      <c r="E3">
        <v>124</v>
      </c>
      <c r="F3">
        <v>111</v>
      </c>
      <c r="G3">
        <v>33</v>
      </c>
      <c r="H3">
        <v>2435</v>
      </c>
      <c r="I3">
        <v>75</v>
      </c>
      <c r="J3">
        <v>31.21</v>
      </c>
      <c r="K3">
        <v>1938</v>
      </c>
      <c r="L3">
        <v>125.64</v>
      </c>
      <c r="M3">
        <v>0</v>
      </c>
      <c r="N3">
        <v>9</v>
      </c>
      <c r="O3">
        <v>2</v>
      </c>
      <c r="P3">
        <v>196</v>
      </c>
      <c r="Q3">
        <v>69</v>
      </c>
      <c r="R3" s="1"/>
    </row>
    <row r="4" spans="1:18" x14ac:dyDescent="0.35">
      <c r="A4" s="1" t="s">
        <v>590</v>
      </c>
      <c r="B4" s="1" t="s">
        <v>593</v>
      </c>
      <c r="C4">
        <v>2006</v>
      </c>
      <c r="D4">
        <v>2025</v>
      </c>
      <c r="E4">
        <v>106</v>
      </c>
      <c r="F4">
        <v>97</v>
      </c>
      <c r="G4">
        <v>22</v>
      </c>
      <c r="H4">
        <v>1954</v>
      </c>
      <c r="I4">
        <v>63</v>
      </c>
      <c r="J4">
        <v>26.05</v>
      </c>
      <c r="K4">
        <v>1611</v>
      </c>
      <c r="L4">
        <v>121.29</v>
      </c>
      <c r="M4">
        <v>0</v>
      </c>
      <c r="N4">
        <v>7</v>
      </c>
      <c r="O4">
        <v>6</v>
      </c>
      <c r="P4">
        <v>123</v>
      </c>
      <c r="Q4">
        <v>72</v>
      </c>
      <c r="R4" s="1" t="s">
        <v>17</v>
      </c>
    </row>
    <row r="5" spans="1:18" x14ac:dyDescent="0.35">
      <c r="A5" s="1" t="s">
        <v>128</v>
      </c>
      <c r="B5" s="1" t="s">
        <v>129</v>
      </c>
      <c r="C5">
        <v>2014</v>
      </c>
      <c r="D5">
        <v>2025</v>
      </c>
      <c r="E5">
        <v>100</v>
      </c>
      <c r="F5">
        <v>86</v>
      </c>
      <c r="G5">
        <v>15</v>
      </c>
      <c r="H5">
        <v>1890</v>
      </c>
      <c r="I5">
        <v>104</v>
      </c>
      <c r="J5">
        <v>26.61</v>
      </c>
      <c r="K5">
        <v>1398</v>
      </c>
      <c r="L5">
        <v>135.19</v>
      </c>
      <c r="M5">
        <v>1</v>
      </c>
      <c r="N5">
        <v>10</v>
      </c>
      <c r="O5">
        <v>5</v>
      </c>
      <c r="P5">
        <v>159</v>
      </c>
      <c r="Q5">
        <v>76</v>
      </c>
      <c r="R5" s="1" t="s">
        <v>17</v>
      </c>
    </row>
    <row r="6" spans="1:18" x14ac:dyDescent="0.35">
      <c r="A6" s="1" t="s">
        <v>123</v>
      </c>
      <c r="B6" s="1" t="s">
        <v>124</v>
      </c>
      <c r="C6">
        <v>2007</v>
      </c>
      <c r="D6">
        <v>2020</v>
      </c>
      <c r="E6">
        <v>78</v>
      </c>
      <c r="F6">
        <v>78</v>
      </c>
      <c r="G6">
        <v>5</v>
      </c>
      <c r="H6">
        <v>1758</v>
      </c>
      <c r="I6">
        <v>103</v>
      </c>
      <c r="J6">
        <v>24.08</v>
      </c>
      <c r="K6">
        <v>1503</v>
      </c>
      <c r="L6">
        <v>116.96</v>
      </c>
      <c r="M6">
        <v>1</v>
      </c>
      <c r="N6">
        <v>7</v>
      </c>
      <c r="O6">
        <v>6</v>
      </c>
      <c r="P6">
        <v>188</v>
      </c>
      <c r="Q6">
        <v>45</v>
      </c>
      <c r="R6" s="1" t="s">
        <v>17</v>
      </c>
    </row>
    <row r="7" spans="1:18" x14ac:dyDescent="0.35">
      <c r="A7" s="1" t="s">
        <v>283</v>
      </c>
      <c r="B7" s="1" t="s">
        <v>284</v>
      </c>
      <c r="C7">
        <v>2019</v>
      </c>
      <c r="D7">
        <v>2025</v>
      </c>
      <c r="E7">
        <v>68</v>
      </c>
      <c r="F7">
        <v>58</v>
      </c>
      <c r="G7">
        <v>14</v>
      </c>
      <c r="H7">
        <v>1596</v>
      </c>
      <c r="I7">
        <v>102</v>
      </c>
      <c r="J7">
        <v>36.270000000000003</v>
      </c>
      <c r="K7">
        <v>945</v>
      </c>
      <c r="L7">
        <v>168.88</v>
      </c>
      <c r="M7">
        <v>1</v>
      </c>
      <c r="N7">
        <v>9</v>
      </c>
      <c r="O7">
        <v>4</v>
      </c>
      <c r="P7">
        <v>126</v>
      </c>
      <c r="Q7">
        <v>101</v>
      </c>
      <c r="R7" s="1" t="s">
        <v>17</v>
      </c>
    </row>
    <row r="8" spans="1:18" x14ac:dyDescent="0.35">
      <c r="A8" s="1" t="s">
        <v>179</v>
      </c>
      <c r="B8" s="1" t="s">
        <v>96</v>
      </c>
      <c r="C8">
        <v>2012</v>
      </c>
      <c r="D8">
        <v>2020</v>
      </c>
      <c r="E8">
        <v>50</v>
      </c>
      <c r="F8">
        <v>50</v>
      </c>
      <c r="G8">
        <v>7</v>
      </c>
      <c r="H8">
        <v>1528</v>
      </c>
      <c r="I8">
        <v>119</v>
      </c>
      <c r="J8">
        <v>35.53</v>
      </c>
      <c r="K8">
        <v>1137</v>
      </c>
      <c r="L8">
        <v>134.38</v>
      </c>
      <c r="M8">
        <v>1</v>
      </c>
      <c r="N8">
        <v>10</v>
      </c>
      <c r="O8">
        <v>0</v>
      </c>
      <c r="P8">
        <v>140</v>
      </c>
      <c r="Q8">
        <v>50</v>
      </c>
      <c r="R8" s="1" t="s">
        <v>17</v>
      </c>
    </row>
    <row r="9" spans="1:18" x14ac:dyDescent="0.35">
      <c r="A9" s="1" t="s">
        <v>220</v>
      </c>
      <c r="B9" s="1" t="s">
        <v>99</v>
      </c>
      <c r="C9">
        <v>2006</v>
      </c>
      <c r="D9">
        <v>2018</v>
      </c>
      <c r="E9">
        <v>99</v>
      </c>
      <c r="F9">
        <v>91</v>
      </c>
      <c r="G9">
        <v>12</v>
      </c>
      <c r="H9">
        <v>1416</v>
      </c>
      <c r="I9">
        <v>54</v>
      </c>
      <c r="J9">
        <v>17.920000000000002</v>
      </c>
      <c r="K9">
        <v>944</v>
      </c>
      <c r="L9">
        <v>150</v>
      </c>
      <c r="M9">
        <v>0</v>
      </c>
      <c r="N9">
        <v>4</v>
      </c>
      <c r="O9">
        <v>8</v>
      </c>
      <c r="P9">
        <v>103</v>
      </c>
      <c r="Q9">
        <v>73</v>
      </c>
      <c r="R9" s="1" t="s">
        <v>17</v>
      </c>
    </row>
    <row r="10" spans="1:18" x14ac:dyDescent="0.35">
      <c r="A10" s="1" t="s">
        <v>254</v>
      </c>
      <c r="B10" s="1" t="s">
        <v>96</v>
      </c>
      <c r="C10">
        <v>2009</v>
      </c>
      <c r="D10">
        <v>2018</v>
      </c>
      <c r="E10">
        <v>44</v>
      </c>
      <c r="F10">
        <v>44</v>
      </c>
      <c r="G10">
        <v>6</v>
      </c>
      <c r="H10">
        <v>1277</v>
      </c>
      <c r="I10">
        <v>97</v>
      </c>
      <c r="J10">
        <v>33.6</v>
      </c>
      <c r="K10">
        <v>967</v>
      </c>
      <c r="L10">
        <v>132.05000000000001</v>
      </c>
      <c r="M10">
        <v>0</v>
      </c>
      <c r="N10">
        <v>8</v>
      </c>
      <c r="O10">
        <v>2</v>
      </c>
      <c r="P10">
        <v>146</v>
      </c>
      <c r="Q10">
        <v>26</v>
      </c>
      <c r="R10" s="1" t="s">
        <v>17</v>
      </c>
    </row>
    <row r="11" spans="1:18" x14ac:dyDescent="0.35">
      <c r="A11" s="1" t="s">
        <v>279</v>
      </c>
      <c r="B11" s="1" t="s">
        <v>280</v>
      </c>
      <c r="C11">
        <v>2010</v>
      </c>
      <c r="D11">
        <v>2021</v>
      </c>
      <c r="E11">
        <v>84</v>
      </c>
      <c r="F11">
        <v>74</v>
      </c>
      <c r="G11">
        <v>22</v>
      </c>
      <c r="H11">
        <v>1204</v>
      </c>
      <c r="I11">
        <v>61</v>
      </c>
      <c r="J11">
        <v>23.15</v>
      </c>
      <c r="K11">
        <v>794</v>
      </c>
      <c r="L11">
        <v>151.63</v>
      </c>
      <c r="M11">
        <v>0</v>
      </c>
      <c r="N11">
        <v>3</v>
      </c>
      <c r="O11">
        <v>8</v>
      </c>
      <c r="P11">
        <v>88</v>
      </c>
      <c r="Q11">
        <v>64</v>
      </c>
      <c r="R11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8CD0FF-81DA-4475-B2C1-F471EA641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Top 50 </vt:lpstr>
      <vt:lpstr>Top 100</vt:lpstr>
      <vt:lpstr>Top 150</vt:lpstr>
      <vt:lpstr>Top 200</vt:lpstr>
      <vt:lpstr>Top 250</vt:lpstr>
      <vt:lpstr>Top 300</vt:lpstr>
      <vt:lpstr>Top 300 T20I Player</vt:lpstr>
      <vt:lpstr>Sheet1</vt:lpstr>
      <vt:lpstr>Top 300 T20I Player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Amjad Tamboli</cp:lastModifiedBy>
  <dcterms:created xsi:type="dcterms:W3CDTF">2025-06-01T10:57:27Z</dcterms:created>
  <dcterms:modified xsi:type="dcterms:W3CDTF">2025-12-01T14:27:16Z</dcterms:modified>
</cp:coreProperties>
</file>